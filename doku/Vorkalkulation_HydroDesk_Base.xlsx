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rkalkulation" sheetId="1" state="visible" r:id="rId1"/>
    <sheet xmlns:r="http://schemas.openxmlformats.org/officeDocument/2006/relationships" name="Gestrich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  <color rgb="00FFFFFF"/>
    </font>
    <font>
      <color rgb="000563C1"/>
      <u val="single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1F6FB2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5" fillId="4" borderId="0" pivotButton="0" quotePrefix="0" xfId="0"/>
    <xf numFmtId="164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www.amazon.de/dp/B0B9H3YMT2" TargetMode="External" Id="rId2"/><Relationship Type="http://schemas.openxmlformats.org/officeDocument/2006/relationships/hyperlink" Target="https://www.amazon.de/dp/B088BRY2SH" TargetMode="External" Id="rId3"/><Relationship Type="http://schemas.openxmlformats.org/officeDocument/2006/relationships/hyperlink" Target="https://www.amazon.de/dp/B017M1NJR0" TargetMode="External" Id="rId4"/><Relationship Type="http://schemas.openxmlformats.org/officeDocument/2006/relationships/hyperlink" Target="https://www.amazon.de/dp/B0DG8B58PM" TargetMode="External" Id="rId5"/><Relationship Type="http://schemas.openxmlformats.org/officeDocument/2006/relationships/hyperlink" Target="https://www.amazon.de/dp/B08214DJLJ" TargetMode="External" Id="rId6"/><Relationship Type="http://schemas.openxmlformats.org/officeDocument/2006/relationships/hyperlink" Target="https://www.amazon.de/dp/B0F67KYB4F" TargetMode="External" Id="rId7"/><Relationship Type="http://schemas.openxmlformats.org/officeDocument/2006/relationships/hyperlink" Target="https://www.amazon.de/dp/B01EV70C78" TargetMode="External" Id="rId8"/><Relationship Type="http://schemas.openxmlformats.org/officeDocument/2006/relationships/hyperlink" Target="https://www.amazon.de/dp/B09LDCTQGY" TargetMode="External" Id="rId9"/><Relationship Type="http://schemas.openxmlformats.org/officeDocument/2006/relationships/hyperlink" Target="https://www.amazon.de/dp/B0GVNMS4DZ" TargetMode="External" Id="rId10"/><Relationship Type="http://schemas.openxmlformats.org/officeDocument/2006/relationships/hyperlink" Target="https://www.amazon.de/dp/B0BTHSVQ89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4" customWidth="1" min="3" max="3"/>
    <col width="13" customWidth="1" min="4" max="4"/>
    <col width="15" customWidth="1" min="5" max="5"/>
    <col width="11" customWidth="1" min="6" max="6"/>
    <col width="36" customWidth="1" min="7" max="7"/>
    <col width="55" customWidth="1" min="8" max="8"/>
  </cols>
  <sheetData>
    <row r="1">
      <c r="A1" s="1" t="inlineStr">
        <is>
          <t>Vorkalkulation HydroDesk Base (Rechteck-Version, ESP32 mit Touch-Display)</t>
        </is>
      </c>
    </row>
    <row r="2">
      <c r="A2" s="2" t="inlineStr">
        <is>
          <t>Amazon.de, Preise ohne Anmeldung abgelesen; ESP32-Display-Board und neue Teile am 06.10.2026, übernommene Teile am 05.10.2026. Preise können sich ändern.</t>
        </is>
      </c>
    </row>
    <row r="4">
      <c r="A4" s="3" t="inlineStr">
        <is>
          <t>Pos.</t>
        </is>
      </c>
      <c r="B4" s="3" t="inlineStr">
        <is>
          <t>Bauteil</t>
        </is>
      </c>
      <c r="C4" s="3" t="inlineStr">
        <is>
          <t>Produkt</t>
        </is>
      </c>
      <c r="D4" s="3" t="inlineStr">
        <is>
          <t>Inhalt Packung</t>
        </is>
      </c>
      <c r="E4" s="3" t="inlineStr">
        <is>
          <t>Status</t>
        </is>
      </c>
      <c r="F4" s="3" t="inlineStr">
        <is>
          <t>Preis (€)</t>
        </is>
      </c>
      <c r="G4" s="3" t="inlineStr">
        <is>
          <t>Link</t>
        </is>
      </c>
      <c r="H4" s="3" t="inlineStr">
        <is>
          <t>Hinweis</t>
        </is>
      </c>
    </row>
    <row r="5">
      <c r="A5" s="4" t="n">
        <v>1</v>
      </c>
      <c r="B5" s="4" t="inlineStr">
        <is>
          <t>ESP32 + Touch-Display</t>
        </is>
      </c>
      <c r="C5" s="4" t="inlineStr">
        <is>
          <t>Fastsaw ESP32 mit 2,8" ILI9341 Touch (320×240), USB-C, TF-Slot</t>
        </is>
      </c>
      <c r="D5" s="4" t="inlineStr">
        <is>
          <t>1 Stk.</t>
        </is>
      </c>
      <c r="E5" s="5" t="inlineStr">
        <is>
          <t>neu (deine Wahl)</t>
        </is>
      </c>
      <c r="F5" s="6" t="n">
        <v>17.99</v>
      </c>
      <c r="G5" s="7" t="inlineStr">
        <is>
          <t>https://www.amazon.de/dp/B0G1N16Q16</t>
        </is>
      </c>
      <c r="H5" s="4" t="inlineStr">
        <is>
          <t>Normalpreis; mit Prime-Angebot 15,11 €. Ersetzt ESP32-3er-Pack und separates Display. Board-Typ ESP32-2432S028R („Cheap Yellow Display“)</t>
        </is>
      </c>
    </row>
    <row r="6">
      <c r="A6" s="4" t="n">
        <v>2</v>
      </c>
      <c r="B6" s="4" t="inlineStr">
        <is>
          <t>Wägezelle + Verstärker</t>
        </is>
      </c>
      <c r="C6" s="4" t="inlineStr">
        <is>
          <t>DIYmalls Wägezelle 5 kg + HX711</t>
        </is>
      </c>
      <c r="D6" s="4" t="inlineStr">
        <is>
          <t>1 Set</t>
        </is>
      </c>
      <c r="E6" s="4" t="inlineStr">
        <is>
          <t>übernommen</t>
        </is>
      </c>
      <c r="F6" s="6" t="n">
        <v>8.970000000000001</v>
      </c>
      <c r="G6" s="7" t="inlineStr">
        <is>
          <t>https://www.amazon.de/dp/B0B9H3YMT2</t>
        </is>
      </c>
      <c r="H6" s="4" t="inlineStr">
        <is>
          <t>Sitzt unter der 90 × 90 mm Flaschenfläche</t>
        </is>
      </c>
    </row>
    <row r="7">
      <c r="A7" s="4" t="n">
        <v>3</v>
      </c>
      <c r="B7" s="4" t="inlineStr">
        <is>
          <t>LED-Leiste</t>
        </is>
      </c>
      <c r="C7" s="4" t="inlineStr">
        <is>
          <t>BTF-LIGHTING WS2812 ECO, 1 m, 60 LED/m, 5 V</t>
        </is>
      </c>
      <c r="D7" s="4" t="inlineStr">
        <is>
          <t>1 m</t>
        </is>
      </c>
      <c r="E7" s="5" t="inlineStr">
        <is>
          <t>neu</t>
        </is>
      </c>
      <c r="F7" s="6" t="n">
        <v>6.86</v>
      </c>
      <c r="G7" s="7" t="inlineStr">
        <is>
          <t>https://www.amazon.de/dp/B088BRY2SH</t>
        </is>
      </c>
      <c r="H7" s="4" t="inlineStr">
        <is>
          <t>Angebotspreis, regulär 8,49 €; für die Vorderkante reichen ca. 10 LEDs</t>
        </is>
      </c>
    </row>
    <row r="8">
      <c r="A8" s="4" t="n">
        <v>4</v>
      </c>
      <c r="B8" s="4" t="inlineStr">
        <is>
          <t>Feuchtigkeitssensor</t>
        </is>
      </c>
      <c r="C8" s="4" t="inlineStr">
        <is>
          <t>Aihasd Regensensor LM393 (2er-Pack)</t>
        </is>
      </c>
      <c r="D8" s="4" t="inlineStr">
        <is>
          <t>2 Stk.</t>
        </is>
      </c>
      <c r="E8" s="5" t="inlineStr">
        <is>
          <t>neu</t>
        </is>
      </c>
      <c r="F8" s="6" t="n">
        <v>5.99</v>
      </c>
      <c r="G8" s="7" t="inlineStr">
        <is>
          <t>https://www.amazon.de/dp/B017M1NJR0</t>
        </is>
      </c>
      <c r="H8" s="4" t="inlineStr">
        <is>
          <t>Nässe-Erkennung um die Flaschenfläche, eines als Ersatz</t>
        </is>
      </c>
    </row>
    <row r="9">
      <c r="A9" s="4" t="n">
        <v>5</v>
      </c>
      <c r="B9" s="4" t="inlineStr">
        <is>
          <t>Strom-Abschaltung</t>
        </is>
      </c>
      <c r="C9" s="4" t="inlineStr">
        <is>
          <t>GERUI FET-Schaltmodul DC 5–36 V (8er-Pack)</t>
        </is>
      </c>
      <c r="D9" s="4" t="inlineStr">
        <is>
          <t>8 Stk.</t>
        </is>
      </c>
      <c r="E9" s="5" t="inlineStr">
        <is>
          <t>neu</t>
        </is>
      </c>
      <c r="F9" s="6" t="n">
        <v>6.49</v>
      </c>
      <c r="G9" s="7" t="inlineStr">
        <is>
          <t>https://www.amazon.de/dp/B0DG8B58PM</t>
        </is>
      </c>
      <c r="H9" s="4" t="inlineStr">
        <is>
          <t>Laut Angabe ab 5 V; vorher testen, sonst einzelnen P-MOSFET (z. B. AO3401) nehmen</t>
        </is>
      </c>
    </row>
    <row r="10">
      <c r="A10" s="4" t="n">
        <v>6</v>
      </c>
      <c r="B10" s="4" t="inlineStr">
        <is>
          <t>Akku</t>
        </is>
      </c>
      <c r="C10" s="4" t="inlineStr">
        <is>
          <t>EEMB LiPo 3,7 V 2000 mAh</t>
        </is>
      </c>
      <c r="D10" s="4" t="inlineStr">
        <is>
          <t>1 Stk.</t>
        </is>
      </c>
      <c r="E10" s="4" t="inlineStr">
        <is>
          <t>übernommen</t>
        </is>
      </c>
      <c r="F10" s="6" t="n">
        <v>10.99</v>
      </c>
      <c r="G10" s="7" t="inlineStr">
        <is>
          <t>https://www.amazon.de/dp/B08214DJLJ</t>
        </is>
      </c>
      <c r="H10" s="4" t="inlineStr">
        <is>
          <t>Board braucht 5 V: für Akkubetrieb zusätzlich einen 5-V-Step-up-Wandler einplanen (noch nicht eingepreist)</t>
        </is>
      </c>
    </row>
    <row r="11">
      <c r="A11" s="4" t="n">
        <v>7</v>
      </c>
      <c r="B11" s="4" t="inlineStr">
        <is>
          <t>Lademodul</t>
        </is>
      </c>
      <c r="C11" s="4" t="inlineStr">
        <is>
          <t>TC4056 USB-C Lademodul mit Schutz (10er-Pack)</t>
        </is>
      </c>
      <c r="D11" s="4" t="inlineStr">
        <is>
          <t>10 Stk.</t>
        </is>
      </c>
      <c r="E11" s="4" t="inlineStr">
        <is>
          <t>übernommen</t>
        </is>
      </c>
      <c r="F11" s="6" t="n">
        <v>6.99</v>
      </c>
      <c r="G11" s="7" t="inlineStr">
        <is>
          <t>https://www.amazon.de/dp/B0F67KYB4F</t>
        </is>
      </c>
      <c r="H11" s="4" t="inlineStr">
        <is>
          <t>USB-C an der Rückseite</t>
        </is>
      </c>
    </row>
    <row r="12">
      <c r="A12" s="4" t="n">
        <v>8</v>
      </c>
      <c r="B12" s="4" t="inlineStr">
        <is>
          <t>Kabel</t>
        </is>
      </c>
      <c r="C12" s="4" t="inlineStr">
        <is>
          <t>Elegoo Jumperkabel-Set</t>
        </is>
      </c>
      <c r="D12" s="4" t="inlineStr">
        <is>
          <t>1 Set</t>
        </is>
      </c>
      <c r="E12" s="4" t="inlineStr">
        <is>
          <t>übernommen</t>
        </is>
      </c>
      <c r="F12" s="6" t="n">
        <v>6.99</v>
      </c>
      <c r="G12" s="7" t="inlineStr">
        <is>
          <t>https://www.amazon.de/dp/B01EV70C78</t>
        </is>
      </c>
      <c r="H12" s="4" t="inlineStr"/>
    </row>
    <row r="13">
      <c r="A13" s="4" t="n">
        <v>9</v>
      </c>
      <c r="B13" s="4" t="inlineStr">
        <is>
          <t>Gummifüße</t>
        </is>
      </c>
      <c r="C13" s="4" t="inlineStr">
        <is>
          <t>InLine Gummipuffer 12 mm selbstklebend (20 Stk.)</t>
        </is>
      </c>
      <c r="D13" s="4" t="inlineStr">
        <is>
          <t>20 Stk.</t>
        </is>
      </c>
      <c r="E13" s="5" t="inlineStr">
        <is>
          <t>neu</t>
        </is>
      </c>
      <c r="F13" s="6" t="n">
        <v>5.45</v>
      </c>
      <c r="G13" s="7" t="inlineStr">
        <is>
          <t>https://www.amazon.de/dp/B09LDCTQGY</t>
        </is>
      </c>
      <c r="H13" s="4" t="inlineStr">
        <is>
          <t>4 Stück werden gebraucht</t>
        </is>
      </c>
    </row>
    <row r="14">
      <c r="A14" s="4" t="n">
        <v>10</v>
      </c>
      <c r="B14" s="4" t="inlineStr">
        <is>
          <t>Flaschen-Pad</t>
        </is>
      </c>
      <c r="C14" s="4" t="inlineStr">
        <is>
          <t>FICOFISE Silikonmatte 40 × 30 cm, rutschfest</t>
        </is>
      </c>
      <c r="D14" s="4" t="inlineStr">
        <is>
          <t>1 Stk.</t>
        </is>
      </c>
      <c r="E14" s="5" t="inlineStr">
        <is>
          <t>neu</t>
        </is>
      </c>
      <c r="F14" s="6" t="n">
        <v>7.59</v>
      </c>
      <c r="G14" s="7" t="inlineStr">
        <is>
          <t>https://www.amazon.de/dp/B0GVNMS4DZ</t>
        </is>
      </c>
      <c r="H14" s="4" t="inlineStr">
        <is>
          <t>Auf 90 × 90 mm zuschneiden</t>
        </is>
      </c>
    </row>
    <row r="15">
      <c r="A15" s="4" t="n">
        <v>11</v>
      </c>
      <c r="B15" s="4" t="inlineStr">
        <is>
          <t>Gehäuse-Material</t>
        </is>
      </c>
      <c r="C15" s="4" t="inlineStr">
        <is>
          <t>SUNLU PLA 1,75 mm, 1 kg</t>
        </is>
      </c>
      <c r="D15" s="4" t="inlineStr">
        <is>
          <t>1 kg</t>
        </is>
      </c>
      <c r="E15" s="5" t="inlineStr">
        <is>
          <t>neu</t>
        </is>
      </c>
      <c r="F15" s="6" t="n">
        <v>11.29</v>
      </c>
      <c r="G15" s="7" t="inlineStr">
        <is>
          <t>https://www.amazon.de/dp/B0BTHSVQ89</t>
        </is>
      </c>
      <c r="H15" s="4" t="inlineStr">
        <is>
          <t>Angebotspreis, regulär 14,99 €; entfällt, wenn die Schule Filament stellt</t>
        </is>
      </c>
    </row>
    <row r="17">
      <c r="A17" t="inlineStr"/>
      <c r="B17" s="8" t="inlineStr">
        <is>
          <t>Summe Bauteile</t>
        </is>
      </c>
      <c r="C17" t="inlineStr"/>
      <c r="D17" t="inlineStr"/>
      <c r="E17" t="inlineStr"/>
      <c r="F17" s="9">
        <f>SUM(F5:F15)</f>
        <v/>
      </c>
    </row>
    <row r="18">
      <c r="A18" t="inlineStr"/>
      <c r="B18" s="10" t="inlineStr">
        <is>
          <t>Puffer 10 % (Verschnitt, Ersatz, Versand)</t>
        </is>
      </c>
      <c r="C18" t="inlineStr"/>
      <c r="D18" t="inlineStr"/>
      <c r="E18" t="inlineStr"/>
      <c r="F18" s="11">
        <f>ROUND(F17*0.1,2)</f>
        <v/>
      </c>
    </row>
    <row r="19">
      <c r="A19" t="inlineStr"/>
      <c r="B19" s="12" t="inlineStr">
        <is>
          <t>Gesamt geplant</t>
        </is>
      </c>
      <c r="C19" t="inlineStr"/>
      <c r="D19" t="inlineStr"/>
      <c r="E19" t="inlineStr"/>
      <c r="F19" s="13">
        <f>F17+F18</f>
        <v/>
      </c>
    </row>
    <row r="20">
      <c r="A20" t="inlineStr"/>
      <c r="B20" s="10" t="inlineStr">
        <is>
          <t>Gesamt ohne PLA (falls die Schule druckt)</t>
        </is>
      </c>
      <c r="C20" t="inlineStr"/>
      <c r="D20" t="inlineStr"/>
      <c r="E20" t="inlineStr"/>
      <c r="F20" s="11">
        <f>F19-F15-ROUND(F15*0.1,2)</f>
        <v/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5" customWidth="1" min="1" max="1"/>
    <col width="50" customWidth="1" min="2" max="2"/>
  </cols>
  <sheetData>
    <row r="1">
      <c r="A1" s="8" t="inlineStr">
        <is>
          <t>Gestrichenes Teil</t>
        </is>
      </c>
      <c r="B1" s="8" t="inlineStr">
        <is>
          <t>Grund</t>
        </is>
      </c>
    </row>
    <row r="2">
      <c r="A2" t="inlineStr">
        <is>
          <t>AZDelivery ESP32 DevKit 3er-Pack (B074RGW2VQ), 21,99 €</t>
        </is>
      </c>
      <c r="B2" t="inlineStr">
        <is>
          <t>ESP32 ist jetzt im Display-Board eingebaut</t>
        </is>
      </c>
    </row>
    <row r="3">
      <c r="A3" t="inlineStr">
        <is>
          <t>Fasizi 2,8" ILI9341 Touch-Display (B09Z29CGY1), 10,99 €</t>
        </is>
      </c>
      <c r="B3" t="inlineStr">
        <is>
          <t>Ersetzt durch Fastsaw ESP32-Display-Board</t>
        </is>
      </c>
    </row>
    <row r="4">
      <c r="A4" t="inlineStr">
        <is>
          <t>Rundes GC9A01-Display (B0DB5MR27T)</t>
        </is>
      </c>
      <c r="B4" t="inlineStr">
        <is>
          <t>Rechteckiges Design</t>
        </is>
      </c>
    </row>
    <row r="5">
      <c r="A5" t="inlineStr">
        <is>
          <t>WS2812 LED-Ring (B0GYF2PHV1)</t>
        </is>
      </c>
      <c r="B5" t="inlineStr">
        <is>
          <t>Ersetzt durch LED-Leiste an der Vorderkante</t>
        </is>
      </c>
    </row>
    <row r="6">
      <c r="A6" t="inlineStr">
        <is>
          <t>Blumtal Trinkflasche (B09FDZX7LC)</t>
        </is>
      </c>
      <c r="B6" t="inlineStr">
        <is>
          <t>Keine eigene Flasche mehr, jede Flasche passt</t>
        </is>
      </c>
    </row>
    <row r="7">
      <c r="A7" t="inlineStr">
        <is>
          <t>O-Ringe (B0DC69DWRT)</t>
        </is>
      </c>
      <c r="B7" t="inlineStr">
        <is>
          <t>Waren für die Flaschen-Abdichtung, nicht mehr nötig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2026-10-06T09:55:13Z</dcterms:created>
  <dcterms:modified xmlns:dcterms="http://purl.org/dc/terms/" xmlns:xsi="http://www.w3.org/2001/XMLSchema-instance" xsi:type="dcterms:W3CDTF">2026-10-06T09:55:13Z</dcterms:modified>
</cp:coreProperties>
</file>