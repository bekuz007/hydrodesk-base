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Teileliste" sheetId="1" state="visible" r:id="rId1"/>
    <sheet xmlns:r="http://schemas.openxmlformats.org/officeDocument/2006/relationships" name="Preisvergleich" sheetId="2" state="visible" r:id="rId2"/>
    <sheet xmlns:r="http://schemas.openxmlformats.org/officeDocument/2006/relationships" name="Empfehlung" sheetId="3" state="visible" r:id="rId3"/>
    <sheet xmlns:r="http://schemas.openxmlformats.org/officeDocument/2006/relationships" name="Amazon-Warenkorb" sheetId="4" state="visible" r:id="rId4"/>
    <sheet xmlns:r="http://schemas.openxmlformats.org/officeDocument/2006/relationships" name="Tatsächliche Bestellung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.00&quot; €&quot;"/>
    <numFmt numFmtId="165" formatCode="#,##0.000&quot; €&quot;"/>
    <numFmt numFmtId="166" formatCode="#,##0.00 €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0563C1"/>
      <sz val="11"/>
      <u val="single"/>
    </font>
    <font>
      <name val="Cambria"/>
      <charset val="1"/>
      <family val="0"/>
      <b val="1"/>
      <sz val="13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i val="1"/>
      <sz val="11"/>
    </font>
    <font>
      <b val="1"/>
      <color rgb="001F4E79"/>
      <sz val="13"/>
    </font>
    <font>
      <i val="1"/>
    </font>
    <font>
      <b val="1"/>
      <color rgb="00FFFFFF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FF305496"/>
        <bgColor rgb="FF0563C1"/>
      </patternFill>
    </fill>
    <fill>
      <patternFill patternType="solid">
        <fgColor rgb="FFC6EFCE"/>
        <bgColor rgb="FFCCFFFF"/>
      </patternFill>
    </fill>
    <fill>
      <patternFill patternType="solid">
        <fgColor rgb="FFF8CBAD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164" fontId="0" fillId="3" borderId="1" applyAlignment="1" pivotButton="0" quotePrefix="0" xfId="0">
      <alignment horizontal="general" vertical="top" wrapText="1"/>
    </xf>
    <xf numFmtId="165" fontId="0" fillId="3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164" fontId="0" fillId="4" borderId="1" applyAlignment="1" pivotButton="0" quotePrefix="0" xfId="0">
      <alignment horizontal="general" vertical="top" wrapText="1"/>
    </xf>
    <xf numFmtId="165" fontId="0" fillId="4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4" fontId="0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general" vertical="bottom"/>
    </xf>
    <xf numFmtId="164" fontId="7" fillId="6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164" fontId="0" fillId="3" borderId="1" applyAlignment="1" pivotButton="0" quotePrefix="0" xfId="0">
      <alignment horizontal="general" vertical="top" wrapText="1"/>
    </xf>
    <xf numFmtId="165" fontId="0" fillId="3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164" fontId="0" fillId="4" borderId="1" applyAlignment="1" pivotButton="0" quotePrefix="0" xfId="0">
      <alignment horizontal="general" vertical="top" wrapText="1"/>
    </xf>
    <xf numFmtId="165" fontId="0" fillId="4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4" fontId="0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general" vertical="bottom"/>
    </xf>
    <xf numFmtId="164" fontId="7" fillId="6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0" borderId="0" pivotButton="0" quotePrefix="0" xfId="0"/>
    <xf numFmtId="0" fontId="12" fillId="7" borderId="2" applyAlignment="1" pivotButton="0" quotePrefix="0" xfId="0">
      <alignment vertical="center" wrapText="1"/>
    </xf>
    <xf numFmtId="0" fontId="0" fillId="0" borderId="2" pivotButton="0" quotePrefix="0" xfId="0"/>
    <xf numFmtId="166" fontId="0" fillId="0" borderId="2" pivotButton="0" quotePrefix="0" xfId="0"/>
    <xf numFmtId="0" fontId="11" fillId="0" borderId="2" pivotButton="0" quotePrefix="0" xfId="0"/>
    <xf numFmtId="0" fontId="13" fillId="8" borderId="2" pivotButton="0" quotePrefix="0" xfId="0"/>
    <xf numFmtId="166" fontId="13" fillId="8" borderId="2" pivotButton="0" quotePrefix="0" xfId="0"/>
    <xf numFmtId="0" fontId="14" fillId="9" borderId="2" pivotButton="0" quotePrefix="0" xfId="0"/>
    <xf numFmtId="166" fontId="14" fillId="9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amazon.de/dp/B0G1N16Q16" TargetMode="External" Id="rId1"/><Relationship Type="http://schemas.openxmlformats.org/officeDocument/2006/relationships/hyperlink" Target="https://de.aliexpress.com/item/1005009535167188.html" TargetMode="External" Id="rId2"/><Relationship Type="http://schemas.openxmlformats.org/officeDocument/2006/relationships/hyperlink" Target="https://de.aliexpress.com/item/1005007708576179.html" TargetMode="External" Id="rId3"/><Relationship Type="http://schemas.openxmlformats.org/officeDocument/2006/relationships/hyperlink" Target="https://www.amazon.de/dp/B0B9H3YMT2" TargetMode="External" Id="rId4"/><Relationship Type="http://schemas.openxmlformats.org/officeDocument/2006/relationships/hyperlink" Target="https://de.aliexpress.com/item/1005009230467552.html" TargetMode="External" Id="rId5"/><Relationship Type="http://schemas.openxmlformats.org/officeDocument/2006/relationships/hyperlink" Target="https://www.berrybase.de/dehnungsmessstreifen-waegezelle-5kg" TargetMode="External" Id="rId6"/><Relationship Type="http://schemas.openxmlformats.org/officeDocument/2006/relationships/hyperlink" Target="https://www.amazon.de/dp/B0H41MCVSW" TargetMode="External" Id="rId7"/><Relationship Type="http://schemas.openxmlformats.org/officeDocument/2006/relationships/hyperlink" Target="https://de.aliexpress.com/item/1005006422072860.html" TargetMode="External" Id="rId8"/><Relationship Type="http://schemas.openxmlformats.org/officeDocument/2006/relationships/hyperlink" Target="https://www.amazon.de/dp/B088BRY2SH" TargetMode="External" Id="rId9"/><Relationship Type="http://schemas.openxmlformats.org/officeDocument/2006/relationships/hyperlink" Target="https://de.aliexpress.com/item/1005008750140385.html" TargetMode="External" Id="rId10"/><Relationship Type="http://schemas.openxmlformats.org/officeDocument/2006/relationships/hyperlink" Target="https://www.berrybase.de/regensensor-mit-digitalem-und-analogem-ausgang" TargetMode="External" Id="rId11"/><Relationship Type="http://schemas.openxmlformats.org/officeDocument/2006/relationships/hyperlink" Target="https://www.reichelt.de/de/de/shop/produkt/entwicklerboards_-_regentrofpen-_feuchtigkeits-sensormodul-282565" TargetMode="External" Id="rId12"/><Relationship Type="http://schemas.openxmlformats.org/officeDocument/2006/relationships/hyperlink" Target="https://www.amazon.de/dp/B017M1NJR0" TargetMode="External" Id="rId13"/><Relationship Type="http://schemas.openxmlformats.org/officeDocument/2006/relationships/hyperlink" Target="https://de.aliexpress.com/item/1005007987689565.html" TargetMode="External" Id="rId14"/><Relationship Type="http://schemas.openxmlformats.org/officeDocument/2006/relationships/hyperlink" Target="https://www.amazon.de/dp/B0DG8B58PM" TargetMode="External" Id="rId15"/><Relationship Type="http://schemas.openxmlformats.org/officeDocument/2006/relationships/hyperlink" Target="https://www.amazon.de/dp/B08214DJLJ" TargetMode="External" Id="rId16"/><Relationship Type="http://schemas.openxmlformats.org/officeDocument/2006/relationships/hyperlink" Target="https://www.amazon.de/dp/B0F67KYB4F" TargetMode="External" Id="rId17"/><Relationship Type="http://schemas.openxmlformats.org/officeDocument/2006/relationships/hyperlink" Target="https://de.aliexpress.com/item/1005013255677257.html" TargetMode="External" Id="rId18"/><Relationship Type="http://schemas.openxmlformats.org/officeDocument/2006/relationships/hyperlink" Target="https://www.berrybase.de/ladeplatine-fuer-3-7v-liion-lipo-akkus-mit-ausgang-micro-usb-loetpads-1000ma" TargetMode="External" Id="rId19"/><Relationship Type="http://schemas.openxmlformats.org/officeDocument/2006/relationships/hyperlink" Target="https://www.berrybase.de/pololu-s13v10f5-5v-1a-step-up-step-down-converter" TargetMode="External" Id="rId20"/><Relationship Type="http://schemas.openxmlformats.org/officeDocument/2006/relationships/hyperlink" Target="https://www.berrybase.de/pololu-s13v20f5-5v-2a-step-up-step-down-spannungsregler" TargetMode="External" Id="rId21"/><Relationship Type="http://schemas.openxmlformats.org/officeDocument/2006/relationships/hyperlink" Target="https://de.aliexpress.com/item/1005009806778521.html" TargetMode="External" Id="rId22"/><Relationship Type="http://schemas.openxmlformats.org/officeDocument/2006/relationships/hyperlink" Target="https://www.amazon.de/dp/B07YWKN9NW" TargetMode="External" Id="rId23"/><Relationship Type="http://schemas.openxmlformats.org/officeDocument/2006/relationships/hyperlink" Target="https://alleschrauben.de/Schrauben/Senkkopf/Senkkopfschrauben-DIN-7991/Senkkopfschrauben-M3x12-mit-Innensechskant-DIN-7991-Edelstahl-A2" TargetMode="External" Id="rId24"/><Relationship Type="http://schemas.openxmlformats.org/officeDocument/2006/relationships/hyperlink" Target="https://alleschrauben.de/Schrauben/Senkkopf/Senkkopfschrauben-DIN-7991/Senkkopfschrauben-M4x10-mit-Innensechskant-DIN-7991-Edelstahl-A2" TargetMode="External" Id="rId25"/><Relationship Type="http://schemas.openxmlformats.org/officeDocument/2006/relationships/hyperlink" Target="https://www.reichelt.de/de/de/shop/produkt/flach-senkkopfschrauben_kreuzschlitz_pzd_m4_10_mm_50_stueck-65750" TargetMode="External" Id="rId26"/><Relationship Type="http://schemas.openxmlformats.org/officeDocument/2006/relationships/hyperlink" Target="https://alleschrauben.de/Schrauben/Senkkopf/Senkkopfschrauben-DIN-7991/Senkkopfschrauben-M5x12-mit-Innensechskant-DIN-7991-Edelstahl-A2" TargetMode="External" Id="rId27"/><Relationship Type="http://schemas.openxmlformats.org/officeDocument/2006/relationships/hyperlink" Target="https://www.berrybase.de/fix-fasten-selbstklebender-fuss-rund-oben-9-5mm-unten-10mm-hoehe-4-5mm-gummi-schwarz" TargetMode="External" Id="rId28"/><Relationship Type="http://schemas.openxmlformats.org/officeDocument/2006/relationships/hyperlink" Target="https://www.amazon.de/dp/B09LDCTQGY" TargetMode="External" Id="rId29"/><Relationship Type="http://schemas.openxmlformats.org/officeDocument/2006/relationships/hyperlink" Target="https://www.amazon.de/dp/B0GVNMS4DZ" TargetMode="External" Id="rId30"/><Relationship Type="http://schemas.openxmlformats.org/officeDocument/2006/relationships/hyperlink" Target="https://www.reichelt.de/de/de/shop/produkt/widerstand_metallschicht_100_kohm_0207_0_6_w_1_-11458" TargetMode="External" Id="rId31"/><Relationship Type="http://schemas.openxmlformats.org/officeDocument/2006/relationships/hyperlink" Target="https://www.berrybase.de/metallschichtwiderstand-100-0-kohm-1-4w-1-0207-axial-durchsteckmontage" TargetMode="External" Id="rId32"/><Relationship Type="http://schemas.openxmlformats.org/officeDocument/2006/relationships/hyperlink" Target="https://www.berrybase.de/metallschichtwiderstand-10-0-kohm-1-4w-1-0207-axial-durchsteckmontage" TargetMode="External" Id="rId33"/><Relationship Type="http://schemas.openxmlformats.org/officeDocument/2006/relationships/hyperlink" Target="https://www.berrybase.de/vierlingslitze-isoliert-4x0-14mm-5m-farbe-blau-gelb-rot-gruen" TargetMode="External" Id="rId34"/><Relationship Type="http://schemas.openxmlformats.org/officeDocument/2006/relationships/hyperlink" Target="https://www.berrybase.de/vierlingslitze-isoliert-4x0-25mm-fuer-rgb-led-stripes-5m" TargetMode="External" Id="rId35"/><Relationship Type="http://schemas.openxmlformats.org/officeDocument/2006/relationships/hyperlink" Target="https://de.aliexpress.com/item/1005008607415668.html" TargetMode="External" Id="rId36"/><Relationship Type="http://schemas.openxmlformats.org/officeDocument/2006/relationships/hyperlink" Target="https://de.aliexpress.com/item/4001171710583.html" TargetMode="External" Id="rId37"/><Relationship Type="http://schemas.openxmlformats.org/officeDocument/2006/relationships/hyperlink" Target="https://de.aliexpress.com/item/1005009886368149.html" TargetMode="External" Id="rId38"/><Relationship Type="http://schemas.openxmlformats.org/officeDocument/2006/relationships/hyperlink" Target="https://www.berrybase.de/schrumpfschlauch-set-100-teilig-in-sortimentsbox-schwarz" TargetMode="External" Id="rId39"/><Relationship Type="http://schemas.openxmlformats.org/officeDocument/2006/relationships/hyperlink" Target="https://www.berrybase.de/tesa-doppelseitiges-klebeband-10m-x-12mm-transparent-pp-traeger-loesungsmittelfrei" TargetMode="External" Id="rId40"/><Relationship Type="http://schemas.openxmlformats.org/officeDocument/2006/relationships/hyperlink" Target="https://www.berrybase.de/kabelbinder-uv-bestaendig-nylon-100-stueck/farbe-transparent/masse-100x2-5mm" TargetMode="External" Id="rId41"/><Relationship Type="http://schemas.openxmlformats.org/officeDocument/2006/relationships/hyperlink" Target="https://www.berrybase.de/verlaengerungskabel-2-pin-jst-ph-2.0mm-stecker-buchse-awg24-50cm" TargetMode="External" Id="rId42"/><Relationship Type="http://schemas.openxmlformats.org/officeDocument/2006/relationships/hyperlink" Target="https://www.amazon.de/dp/B0BTHSVQ89" TargetMode="External" Id="rId43"/><Relationship Type="http://schemas.openxmlformats.org/officeDocument/2006/relationships/hyperlink" Target="https://www.amazon.de/dp/B01EV70C78" TargetMode="External" Id="rId4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mazon.de/dp/B0G1N16Q16" TargetMode="External" Id="rId1"/><Relationship Type="http://schemas.openxmlformats.org/officeDocument/2006/relationships/hyperlink" Target="https://www.amazon.de/dp/B0B9H3YMT2" TargetMode="External" Id="rId2"/><Relationship Type="http://schemas.openxmlformats.org/officeDocument/2006/relationships/hyperlink" Target="https://www.amazon.de/dp/B0H41MCVSW" TargetMode="External" Id="rId3"/><Relationship Type="http://schemas.openxmlformats.org/officeDocument/2006/relationships/hyperlink" Target="https://www.amazon.de/dp/B0DG8B58PM" TargetMode="External" Id="rId4"/><Relationship Type="http://schemas.openxmlformats.org/officeDocument/2006/relationships/hyperlink" Target="https://www.amazon.de/dp/B08214DJLJ" TargetMode="External" Id="rId5"/><Relationship Type="http://schemas.openxmlformats.org/officeDocument/2006/relationships/hyperlink" Target="https://www.amazon.de/dp/B0F67KYB4F" TargetMode="External" Id="rId6"/><Relationship Type="http://schemas.openxmlformats.org/officeDocument/2006/relationships/hyperlink" Target="https://www.amazon.de/dp/B0GVNMS4DZ" TargetMode="External" Id="rId7"/><Relationship Type="http://schemas.openxmlformats.org/officeDocument/2006/relationships/hyperlink" Target="https://www.berrybase.de/regensensor-mit-digitalem-und-analogem-ausgang" TargetMode="External" Id="rId8"/><Relationship Type="http://schemas.openxmlformats.org/officeDocument/2006/relationships/hyperlink" Target="https://www.berrybase.de/pololu-s13v10f5-5v-1a-step-up-step-down-converter" TargetMode="External" Id="rId9"/><Relationship Type="http://schemas.openxmlformats.org/officeDocument/2006/relationships/hyperlink" Target="https://www.berrybase.de/fix-fasten-selbstklebender-fuss-rund-oben-9-5mm-unten-10mm-hoehe-4-5mm-gummi-schwarz" TargetMode="External" Id="rId10"/><Relationship Type="http://schemas.openxmlformats.org/officeDocument/2006/relationships/hyperlink" Target="https://www.berrybase.de/metallschichtwiderstand-10-0-kohm-1-4w-1-0207-axial-durchsteckmontage" TargetMode="External" Id="rId11"/><Relationship Type="http://schemas.openxmlformats.org/officeDocument/2006/relationships/hyperlink" Target="https://www.berrybase.de/vierlingslitze-isoliert-4x0-14mm-5m-farbe-blau-gelb-rot-gruen" TargetMode="External" Id="rId12"/><Relationship Type="http://schemas.openxmlformats.org/officeDocument/2006/relationships/hyperlink" Target="https://www.berrybase.de/schrumpfschlauch-set-100-teilig-in-sortimentsbox-schwarz" TargetMode="External" Id="rId13"/><Relationship Type="http://schemas.openxmlformats.org/officeDocument/2006/relationships/hyperlink" Target="https://www.berrybase.de/tesa-doppelseitiges-klebeband-10m-x-12mm-transparent-pp-traeger-loesungsmittelfrei" TargetMode="External" Id="rId14"/><Relationship Type="http://schemas.openxmlformats.org/officeDocument/2006/relationships/hyperlink" Target="https://www.berrybase.de/kabelbinder-uv-bestaendig-nylon-100-stueck/farbe-transparent/masse-100x2-5mm" TargetMode="External" Id="rId15"/><Relationship Type="http://schemas.openxmlformats.org/officeDocument/2006/relationships/hyperlink" Target="https://alleschrauben.de/Schrauben/Senkkopf/Senkkopfschrauben-DIN-7991/Senkkopfschrauben-M3x12-mit-Innensechskant-DIN-7991-Edelstahl-A2" TargetMode="External" Id="rId16"/><Relationship Type="http://schemas.openxmlformats.org/officeDocument/2006/relationships/hyperlink" Target="https://alleschrauben.de/Schrauben/Senkkopf/Senkkopfschrauben-DIN-7991/Senkkopfschrauben-M4x10-mit-Innensechskant-DIN-7991-Edelstahl-A2" TargetMode="External" Id="rId17"/><Relationship Type="http://schemas.openxmlformats.org/officeDocument/2006/relationships/hyperlink" Target="https://alleschrauben.de/Schrauben/Senkkopf/Senkkopfschrauben-DIN-7991/Senkkopfschrauben-M5x12-mit-Innensechskant-DIN-7991-Edelstahl-A2" TargetMode="External" Id="rId18"/><Relationship Type="http://schemas.openxmlformats.org/officeDocument/2006/relationships/hyperlink" Target="https://de.aliexpress.com/item/1005009535167188.html" TargetMode="External" Id="rId19"/><Relationship Type="http://schemas.openxmlformats.org/officeDocument/2006/relationships/hyperlink" Target="https://de.aliexpress.com/item/1005009230467552.html" TargetMode="External" Id="rId20"/><Relationship Type="http://schemas.openxmlformats.org/officeDocument/2006/relationships/hyperlink" Target="https://de.aliexpress.com/item/1005006422072860.html" TargetMode="External" Id="rId21"/><Relationship Type="http://schemas.openxmlformats.org/officeDocument/2006/relationships/hyperlink" Target="https://de.aliexpress.com/item/1005013255677257.html" TargetMode="External" Id="rId22"/><Relationship Type="http://schemas.openxmlformats.org/officeDocument/2006/relationships/hyperlink" Target="https://de.aliexpress.com/item/1005009806778521.html" TargetMode="External" Id="rId23"/><Relationship Type="http://schemas.openxmlformats.org/officeDocument/2006/relationships/hyperlink" Target="https://de.aliexpress.com/item/1005008607415668.html" TargetMode="External" Id="rId24"/><Relationship Type="http://schemas.openxmlformats.org/officeDocument/2006/relationships/hyperlink" Target="https://de.aliexpress.com/item/4001171710583.html" TargetMode="External" Id="rId25"/><Relationship Type="http://schemas.openxmlformats.org/officeDocument/2006/relationships/hyperlink" Target="https://de.aliexpress.com/item/1005009886368149.html" TargetMode="External" Id="rId26"/><Relationship Type="http://schemas.openxmlformats.org/officeDocument/2006/relationships/hyperlink" Target="https://www.amazon.de/dp/B0DG8B58PM" TargetMode="External" Id="rId27"/><Relationship Type="http://schemas.openxmlformats.org/officeDocument/2006/relationships/hyperlink" Target="https://www.amazon.de/dp/B08214DJLJ" TargetMode="External" Id="rId28"/><Relationship Type="http://schemas.openxmlformats.org/officeDocument/2006/relationships/hyperlink" Target="https://www.amazon.de/dp/B0GVNMS4DZ" TargetMode="External" Id="rId29"/><Relationship Type="http://schemas.openxmlformats.org/officeDocument/2006/relationships/hyperlink" Target="https://www.berrybase.de/regensensor-mit-digitalem-und-analogem-ausgang" TargetMode="External" Id="rId30"/><Relationship Type="http://schemas.openxmlformats.org/officeDocument/2006/relationships/hyperlink" Target="https://www.berrybase.de/fix-fasten-selbstklebender-fuss-rund-oben-9-5mm-unten-10mm-hoehe-4-5mm-gummi-schwarz" TargetMode="External" Id="rId31"/><Relationship Type="http://schemas.openxmlformats.org/officeDocument/2006/relationships/hyperlink" Target="https://www.berrybase.de/metallschichtwiderstand-10-0-kohm-1-4w-1-0207-axial-durchsteckmontage" TargetMode="External" Id="rId32"/><Relationship Type="http://schemas.openxmlformats.org/officeDocument/2006/relationships/hyperlink" Target="https://www.berrybase.de/schrumpfschlauch-set-100-teilig-in-sortimentsbox-schwarz" TargetMode="External" Id="rId33"/><Relationship Type="http://schemas.openxmlformats.org/officeDocument/2006/relationships/hyperlink" Target="https://www.berrybase.de/tesa-doppelseitiges-klebeband-10m-x-12mm-transparent-pp-traeger-loesungsmittelfrei" TargetMode="External" Id="rId34"/><Relationship Type="http://schemas.openxmlformats.org/officeDocument/2006/relationships/hyperlink" Target="https://www.berrybase.de/kabelbinder-uv-bestaendig-nylon-100-stueck/farbe-transparent/masse-100x2-5mm" TargetMode="External" Id="rId35"/><Relationship Type="http://schemas.openxmlformats.org/officeDocument/2006/relationships/hyperlink" Target="https://alleschrauben.de/Schrauben/Senkkopf/Senkkopfschrauben-DIN-7991/Senkkopfschrauben-M3x12-mit-Innensechskant-DIN-7991-Edelstahl-A2" TargetMode="External" Id="rId36"/><Relationship Type="http://schemas.openxmlformats.org/officeDocument/2006/relationships/hyperlink" Target="https://alleschrauben.de/Schrauben/Senkkopf/Senkkopfschrauben-DIN-7991/Senkkopfschrauben-M4x10-mit-Innensechskant-DIN-7991-Edelstahl-A2" TargetMode="External" Id="rId37"/><Relationship Type="http://schemas.openxmlformats.org/officeDocument/2006/relationships/hyperlink" Target="https://alleschrauben.de/Schrauben/Senkkopf/Senkkopfschrauben-DIN-7991/Senkkopfschrauben-M5x12-mit-Innensechskant-DIN-7991-Edelstahl-A2" TargetMode="External" Id="rId38"/><Relationship Type="http://schemas.openxmlformats.org/officeDocument/2006/relationships/hyperlink" Target="https://www.berrybase.de/verlaengerungskabel-2-pin-jst-ph-2.0mm-stecker-buchse-awg24-50cm" TargetMode="External" Id="rId39"/><Relationship Type="http://schemas.openxmlformats.org/officeDocument/2006/relationships/hyperlink" Target="https://www.amazon.de/dp/B0BTHSVQ89" TargetMode="External" Id="rId40"/><Relationship Type="http://schemas.openxmlformats.org/officeDocument/2006/relationships/hyperlink" Target="https://www.amazon.de/dp/B01EV70C78" TargetMode="External" Id="rId41"/><Relationship Type="http://schemas.openxmlformats.org/officeDocument/2006/relationships/hyperlink" Target="https://www.berrybase.de/pololu-s13v20f5-5v-2a-step-up-step-down-spannungsregler" TargetMode="External" Id="rId42"/><Relationship Type="http://schemas.openxmlformats.org/officeDocument/2006/relationships/hyperlink" Target="https://www.reichelt.de/de/de/shop/produkt/widerstand_metallschicht_100_kohm_0207_0_6_w_1_-11458" TargetMode="External" Id="rId43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6" min="1" max="1"/>
    <col width="48" customWidth="1" style="26" min="2" max="2"/>
    <col width="10" customWidth="1" style="26" min="3" max="3"/>
    <col width="8" customWidth="1" style="26" min="4" max="4"/>
    <col width="70" customWidth="1" style="26" min="5" max="5"/>
    <col width="12" customWidth="1" style="26" min="6" max="6"/>
  </cols>
  <sheetData>
    <row r="1" ht="27.75" customHeight="1" s="27">
      <c r="A1" s="28" t="inlineStr">
        <is>
          <t>Pos</t>
        </is>
      </c>
      <c r="B1" s="28" t="inlineStr">
        <is>
          <t>Bauteil</t>
        </is>
      </c>
      <c r="C1" s="28" t="inlineStr">
        <is>
          <t>benötigte Menge</t>
        </is>
      </c>
      <c r="D1" s="28" t="inlineStr">
        <is>
          <t>Einheit</t>
        </is>
      </c>
      <c r="E1" s="28" t="inlineStr">
        <is>
          <t>Spezifikation</t>
        </is>
      </c>
      <c r="F1" s="28" t="inlineStr">
        <is>
          <t>Pflicht/Optional</t>
        </is>
      </c>
    </row>
    <row r="2" ht="27.75" customHeight="1" s="27">
      <c r="A2" s="29" t="n">
        <v>1</v>
      </c>
      <c r="B2" s="29" t="inlineStr">
        <is>
          <t>CYD ESP32-2432S028R (2,8" ILI9341, resistiver Touch)</t>
        </is>
      </c>
      <c r="C2" s="29" t="n">
        <v>1</v>
      </c>
      <c r="D2" s="29" t="inlineStr">
        <is>
          <t>Stk</t>
        </is>
      </c>
      <c r="E2" s="29" t="inlineStr">
        <is>
          <t>ESP32-2432S028R, 2,8" 240×320, Touch, Platine 50×86 mm; JST-1,25-4-Pin an CN1/P3</t>
        </is>
      </c>
      <c r="F2" s="29" t="inlineStr">
        <is>
          <t>Pflicht</t>
        </is>
      </c>
    </row>
    <row r="3" ht="27.75" customHeight="1" s="27">
      <c r="A3" s="29" t="n">
        <v>2</v>
      </c>
      <c r="B3" s="29" t="inlineStr">
        <is>
          <t>Wägezelle 5 kg + HX711</t>
        </is>
      </c>
      <c r="C3" s="29" t="n">
        <v>1</v>
      </c>
      <c r="D3" s="29" t="inlineStr">
        <is>
          <t>Set</t>
        </is>
      </c>
      <c r="E3" s="29" t="inlineStr">
        <is>
          <t>Alu-Biegebalken 80×12,7×12,7 mm, 2×M4 / 2×M5 (TAL220-Bauform), HX711-Modul</t>
        </is>
      </c>
      <c r="F3" s="29" t="inlineStr">
        <is>
          <t>Pflicht</t>
        </is>
      </c>
    </row>
    <row r="4" ht="15" customHeight="1" s="27">
      <c r="A4" s="29" t="n">
        <v>3</v>
      </c>
      <c r="B4" s="29" t="inlineStr">
        <is>
          <t>COB-LED-Streifen WS2812B (FCOB), 160 LED/m, 5 mm</t>
        </is>
      </c>
      <c r="C4" s="29" t="n">
        <v>26</v>
      </c>
      <c r="D4" s="29" t="inlineStr">
        <is>
          <t>LEDs</t>
        </is>
      </c>
      <c r="E4" s="29" t="inlineStr">
        <is>
          <t>26 LEDs = 13 Segmente à 12,5 mm = 162,5 mm; 5 V; 5 mm breit; jede LED mit eigenem IC; hinter gedruckter Diffusor-Leiste; 330–470 Ω in DIN</t>
        </is>
      </c>
      <c r="F4" s="29" t="inlineStr">
        <is>
          <t>Pflicht</t>
        </is>
      </c>
    </row>
    <row r="5" ht="15" customHeight="1" s="27">
      <c r="A5" s="29" t="n">
        <v>4</v>
      </c>
      <c r="B5" s="29" t="inlineStr">
        <is>
          <t>Regensensor LM393 (FC-37/YL-83)</t>
        </is>
      </c>
      <c r="C5" s="29" t="n">
        <v>1</v>
      </c>
      <c r="D5" s="29" t="inlineStr">
        <is>
          <t>Set</t>
        </is>
      </c>
      <c r="E5" s="29" t="inlineStr">
        <is>
          <t>Sensorplatte ca. 40×54 mm + Komparator-Modul ca. 16×30 mm</t>
        </is>
      </c>
      <c r="F5" s="29" t="inlineStr">
        <is>
          <t>Pflicht</t>
        </is>
      </c>
    </row>
    <row r="6" ht="27.75" customHeight="1" s="27">
      <c r="A6" s="29" t="n">
        <v>5</v>
      </c>
      <c r="B6" s="29" t="inlineStr">
        <is>
          <t>P-MOSFET AO3401A (SOT-23): Q1 LED-Strom, Q2 Akku-Schalter</t>
        </is>
      </c>
      <c r="C6" s="29" t="n">
        <v>2</v>
      </c>
      <c r="D6" s="29" t="inlineStr">
        <is>
          <t>Stk</t>
        </is>
      </c>
      <c r="E6" s="29" t="inlineStr">
        <is>
          <t>P-Kanal −30 V / −4 A, U_GS(th) −0,5…−1,3 V, High-Side; auf SOT-23-Adapter löten (V4, statt FET-Modul)</t>
        </is>
      </c>
      <c r="F6" s="29" t="inlineStr">
        <is>
          <t>Pflicht</t>
        </is>
      </c>
    </row>
    <row r="7" ht="15" customHeight="1" s="27">
      <c r="A7" s="29" t="n">
        <v>6</v>
      </c>
      <c r="B7" s="29" t="inlineStr">
        <is>
          <t>LiPo 3,7 V (EEMB LP103454 oder gleiche Maße)</t>
        </is>
      </c>
      <c r="C7" s="29" t="n">
        <v>1</v>
      </c>
      <c r="D7" s="29" t="inlineStr">
        <is>
          <t>Stk</t>
        </is>
      </c>
      <c r="E7" s="29" t="inlineStr">
        <is>
          <t>Muss in 34,5×56×10,3 mm Fach; mit Schutzschaltung (PCM); JST-PH-2.0</t>
        </is>
      </c>
      <c r="F7" s="29" t="inlineStr">
        <is>
          <t>Pflicht</t>
        </is>
      </c>
    </row>
    <row r="8" ht="15" customHeight="1" s="27">
      <c r="A8" s="29" t="n">
        <v>7</v>
      </c>
      <c r="B8" s="29" t="inlineStr">
        <is>
          <t>Lademodul TC4056/TP4056 USB-C mit Schutz</t>
        </is>
      </c>
      <c r="C8" s="29" t="n">
        <v>1</v>
      </c>
      <c r="D8" s="29" t="inlineStr">
        <is>
          <t>Stk</t>
        </is>
      </c>
      <c r="E8" s="29" t="inlineStr">
        <is>
          <t>Fach 17×26 mm (Anschlag!), USB-C, mit DW01-Schutz, OUT+/OUT-</t>
        </is>
      </c>
      <c r="F8" s="29" t="inlineStr">
        <is>
          <t>Pflicht</t>
        </is>
      </c>
    </row>
    <row r="9" ht="15" customHeight="1" s="27">
      <c r="A9" s="29" t="n">
        <v>8</v>
      </c>
      <c r="B9" s="29" t="inlineStr">
        <is>
          <t>5-V-Wandler (Step-Up)</t>
        </is>
      </c>
      <c r="C9" s="29" t="n">
        <v>1</v>
      </c>
      <c r="D9" s="29" t="inlineStr">
        <is>
          <t>Stk</t>
        </is>
      </c>
      <c r="E9" s="29" t="inlineStr">
        <is>
          <t>Fach 37×17 mm; Eingang 3,0–4,2 V; 5 V, ≥1 A (Last ca. 0,5–0,8 A)</t>
        </is>
      </c>
      <c r="F9" s="29" t="inlineStr">
        <is>
          <t>Pflicht</t>
        </is>
      </c>
    </row>
    <row r="10" ht="15" customHeight="1" s="27">
      <c r="A10" s="29" t="n">
        <v>9</v>
      </c>
      <c r="B10" s="29" t="inlineStr">
        <is>
          <t>Senkkopfschraube M3×12 (DIN 7991/965)</t>
        </is>
      </c>
      <c r="C10" s="29" t="n">
        <v>8</v>
      </c>
      <c r="D10" s="29" t="inlineStr">
        <is>
          <t>Stk</t>
        </is>
      </c>
      <c r="E10" s="29" t="inlineStr">
        <is>
          <t>selbstschneidend in 2,5-mm-Kernloch; Senkung Ø6,8</t>
        </is>
      </c>
      <c r="F10" s="29" t="inlineStr">
        <is>
          <t>Pflicht</t>
        </is>
      </c>
    </row>
    <row r="11" ht="15" customHeight="1" s="27">
      <c r="A11" s="29" t="n">
        <v>10</v>
      </c>
      <c r="B11" s="29" t="inlineStr">
        <is>
          <t>Senkkopfschraube M4×10 (DIN 7991)</t>
        </is>
      </c>
      <c r="C11" s="29" t="n">
        <v>2</v>
      </c>
      <c r="D11" s="29" t="inlineStr">
        <is>
          <t>Stk</t>
        </is>
      </c>
      <c r="E11" s="29" t="inlineStr">
        <is>
          <t>Wägezelle Seite M4</t>
        </is>
      </c>
      <c r="F11" s="29" t="inlineStr">
        <is>
          <t>Pflicht</t>
        </is>
      </c>
    </row>
    <row r="12" ht="15" customHeight="1" s="27">
      <c r="A12" s="29" t="n">
        <v>11</v>
      </c>
      <c r="B12" s="29" t="inlineStr">
        <is>
          <t>Senkkopfschraube M5×12 (DIN 7991)</t>
        </is>
      </c>
      <c r="C12" s="29" t="n">
        <v>2</v>
      </c>
      <c r="D12" s="29" t="inlineStr">
        <is>
          <t>Stk</t>
        </is>
      </c>
      <c r="E12" s="29" t="inlineStr">
        <is>
          <t>Wägezelle Seite M5</t>
        </is>
      </c>
      <c r="F12" s="29" t="inlineStr">
        <is>
          <t>Pflicht</t>
        </is>
      </c>
    </row>
    <row r="13" ht="15" customHeight="1" s="27">
      <c r="A13" s="29" t="n">
        <v>12</v>
      </c>
      <c r="B13" s="29" t="inlineStr">
        <is>
          <t>Gummifüße selbstklebend</t>
        </is>
      </c>
      <c r="C13" s="29" t="n">
        <v>4</v>
      </c>
      <c r="D13" s="29" t="inlineStr">
        <is>
          <t>Stk</t>
        </is>
      </c>
      <c r="E13" s="29" t="inlineStr">
        <is>
          <t>Ø ≤ 13 mm (Tasche Ø13, 1 mm tief)</t>
        </is>
      </c>
      <c r="F13" s="29" t="inlineStr">
        <is>
          <t>Pflicht</t>
        </is>
      </c>
    </row>
    <row r="14" ht="15" customHeight="1" s="27">
      <c r="A14" s="29" t="n">
        <v>13</v>
      </c>
      <c r="B14" s="29" t="inlineStr">
        <is>
          <t>Silikon-Matte (Pad)</t>
        </is>
      </c>
      <c r="C14" s="29" t="n">
        <v>1</v>
      </c>
      <c r="D14" s="29" t="inlineStr">
        <is>
          <t>Stk</t>
        </is>
      </c>
      <c r="E14" s="29" t="inlineStr">
        <is>
          <t>86×86 mm zuschneiden, 1–1,5 mm dick</t>
        </is>
      </c>
      <c r="F14" s="29" t="inlineStr">
        <is>
          <t>Pflicht</t>
        </is>
      </c>
    </row>
    <row r="15" ht="15" customHeight="1" s="27">
      <c r="A15" s="29" t="n">
        <v>14</v>
      </c>
      <c r="B15" s="29" t="inlineStr">
        <is>
          <t>Widerstand 100 kΩ (Akku-Spannungsteiler GPIO35)</t>
        </is>
      </c>
      <c r="C15" s="29" t="n">
        <v>2</v>
      </c>
      <c r="D15" s="29" t="inlineStr">
        <is>
          <t>Stk</t>
        </is>
      </c>
      <c r="E15" s="29" t="inlineStr">
        <is>
          <t>100k/100k; Alternative 2×10 kΩ (gleiches Verhältnis, mehr Ruhestrom)</t>
        </is>
      </c>
      <c r="F15" s="29" t="inlineStr">
        <is>
          <t>Pflicht</t>
        </is>
      </c>
    </row>
    <row r="16" ht="15" customHeight="1" s="27">
      <c r="A16" s="29" t="n">
        <v>15</v>
      </c>
      <c r="B16" s="29" t="inlineStr">
        <is>
          <t>Litze dünn (AWG 24–26)</t>
        </is>
      </c>
      <c r="C16" s="29" t="n">
        <v>1</v>
      </c>
      <c r="D16" s="29" t="inlineStr">
        <is>
          <t>Set</t>
        </is>
      </c>
      <c r="E16" s="29" t="inlineStr">
        <is>
          <t>ca. 1–2 m; für 5 V/LED min. 0,14 mm²</t>
        </is>
      </c>
      <c r="F16" s="29" t="inlineStr">
        <is>
          <t>Pflicht</t>
        </is>
      </c>
    </row>
    <row r="17" ht="15" customHeight="1" s="27">
      <c r="A17" s="29" t="n">
        <v>16</v>
      </c>
      <c r="B17" s="29" t="inlineStr">
        <is>
          <t>Kabel JST 1,25 mm 4-polig (CYD CN1/P3)</t>
        </is>
      </c>
      <c r="C17" s="29" t="n">
        <v>2</v>
      </c>
      <c r="D17" s="29" t="inlineStr">
        <is>
          <t>Stk</t>
        </is>
      </c>
      <c r="E17" s="29" t="inlineStr">
        <is>
          <t>Oft liegt dem CYD 1 Kabel bei – prüfen; sonst anlöten</t>
        </is>
      </c>
      <c r="F17" s="29" t="inlineStr">
        <is>
          <t>Pflicht*</t>
        </is>
      </c>
    </row>
    <row r="18" ht="15" customHeight="1" s="27">
      <c r="A18" s="29" t="n">
        <v>17</v>
      </c>
      <c r="B18" s="29" t="inlineStr">
        <is>
          <t>microSD-Sniffer (SD-Slot-Pins 18/19/23)</t>
        </is>
      </c>
      <c r="C18" s="29" t="n">
        <v>1</v>
      </c>
      <c r="D18" s="29" t="inlineStr">
        <is>
          <t>Stk</t>
        </is>
      </c>
      <c r="E18" s="29" t="inlineStr">
        <is>
          <t>nicht bestellen, passt nicht. SD-Slot zeigt zur Frontwand (nur ca. 3,5 mm Luft); Sniffer würde ca. 35–40 mm herausstehen. GPIO18/19/23 direkt an den SD-Slot löten.</t>
        </is>
      </c>
      <c r="F18" s="29" t="inlineStr">
        <is>
          <t>gestrichen</t>
        </is>
      </c>
    </row>
    <row r="19" ht="15" customHeight="1" s="27">
      <c r="A19" s="29" t="n">
        <v>18</v>
      </c>
      <c r="B19" s="29" t="inlineStr">
        <is>
          <t>Schrumpfschlauch-Set</t>
        </is>
      </c>
      <c r="C19" s="29" t="n">
        <v>1</v>
      </c>
      <c r="D19" s="29" t="inlineStr">
        <is>
          <t>Set</t>
        </is>
      </c>
      <c r="E19" s="29" t="inlineStr">
        <is>
          <t>für Lötstellen</t>
        </is>
      </c>
      <c r="F19" s="29" t="inlineStr">
        <is>
          <t>Pflicht</t>
        </is>
      </c>
    </row>
    <row r="20" ht="15" customHeight="1" s="27">
      <c r="A20" s="29" t="n">
        <v>19</v>
      </c>
      <c r="B20" s="29" t="inlineStr">
        <is>
          <t>Doppelseitiges Klebeband (oder Heißkleber)</t>
        </is>
      </c>
      <c r="C20" s="29" t="n">
        <v>1</v>
      </c>
      <c r="D20" s="29" t="inlineStr">
        <is>
          <t>Rolle</t>
        </is>
      </c>
      <c r="E20" s="29" t="inlineStr">
        <is>
          <t>Module fixieren</t>
        </is>
      </c>
      <c r="F20" s="29" t="inlineStr">
        <is>
          <t>Pflicht</t>
        </is>
      </c>
    </row>
    <row r="21" ht="15" customHeight="1" s="27">
      <c r="A21" s="29" t="n">
        <v>20</v>
      </c>
      <c r="B21" s="29" t="inlineStr">
        <is>
          <t>Kabelbinder 100×2,5</t>
        </is>
      </c>
      <c r="C21" s="29" t="n">
        <v>1</v>
      </c>
      <c r="D21" s="29" t="inlineStr">
        <is>
          <t>Pack</t>
        </is>
      </c>
      <c r="E21" s="29" t="inlineStr">
        <is>
          <t>Kabel bündeln</t>
        </is>
      </c>
      <c r="F21" s="29" t="inlineStr">
        <is>
          <t>Pflicht</t>
        </is>
      </c>
    </row>
    <row r="22" ht="15" customHeight="1" s="27">
      <c r="A22" s="29" t="n">
        <v>21</v>
      </c>
      <c r="B22" s="29" t="inlineStr">
        <is>
          <t>JST-PH-2.0-Verlängerung 2-pol. (Akku steckbar)</t>
        </is>
      </c>
      <c r="C22" s="29" t="n">
        <v>1</v>
      </c>
      <c r="D22" s="29" t="inlineStr">
        <is>
          <t>Stk</t>
        </is>
      </c>
      <c r="E22" s="29" t="inlineStr">
        <is>
          <t>Optional: Akku nicht abschneiden</t>
        </is>
      </c>
      <c r="F22" s="29" t="inlineStr">
        <is>
          <t>Optional</t>
        </is>
      </c>
    </row>
    <row r="23" ht="15" customHeight="1" s="27">
      <c r="A23" s="29" t="n">
        <v>22</v>
      </c>
      <c r="B23" s="29" t="inlineStr">
        <is>
          <t>PLA-Filament 1,75 mm</t>
        </is>
      </c>
      <c r="C23" s="29" t="n">
        <v>128</v>
      </c>
      <c r="D23" s="29" t="inlineStr">
        <is>
          <t>g</t>
        </is>
      </c>
      <c r="E23" s="29" t="inlineStr">
        <is>
          <t>nur falls Schule kein PLA stellt (Base ca. 80 + Deckel 16 + Pad 27 + Kappe 1 + Diffusor ca. 4 g + 2 Klemmkeile &lt; 1 g; Diffusor in Weiß)</t>
        </is>
      </c>
      <c r="F23" s="29" t="inlineStr">
        <is>
          <t>Optional</t>
        </is>
      </c>
    </row>
    <row r="24" ht="15" customHeight="1" s="27">
      <c r="A24" s="29" t="n">
        <v>23</v>
      </c>
      <c r="B24" s="29" t="inlineStr">
        <is>
          <t>Jumper-Kabel-Set (Prototyp auf Breadboard)</t>
        </is>
      </c>
      <c r="C24" s="29" t="n">
        <v>1</v>
      </c>
      <c r="D24" s="29" t="inlineStr">
        <is>
          <t>Set</t>
        </is>
      </c>
      <c r="E24" s="29" t="inlineStr">
        <is>
          <t>nur für Testaufbau</t>
        </is>
      </c>
      <c r="F24" s="29" t="inlineStr">
        <is>
          <t>Optional</t>
        </is>
      </c>
    </row>
    <row r="25" ht="15" customHeight="1" s="27">
      <c r="A25" s="29" t="n">
        <v>24</v>
      </c>
      <c r="B25" s="29" t="inlineStr">
        <is>
          <t>Treiber-Transistor BC547B (NPN, TO-92)</t>
        </is>
      </c>
      <c r="C25" s="29" t="n">
        <v>1</v>
      </c>
      <c r="D25" s="29" t="inlineStr">
        <is>
          <t>Stk</t>
        </is>
      </c>
      <c r="E25" s="29" t="inlineStr">
        <is>
          <t>I_C 100 mA, h_FE 200–450; zieht das Gate von Q1 auf GND</t>
        </is>
      </c>
      <c r="F25" s="29" t="inlineStr">
        <is>
          <t>Pflicht</t>
        </is>
      </c>
    </row>
    <row r="26" ht="15" customHeight="1" s="27">
      <c r="A26" s="29" t="n">
        <v>25</v>
      </c>
      <c r="B26" s="29" t="inlineStr">
        <is>
          <t>Widerstand 470 Ω</t>
        </is>
      </c>
      <c r="C26" s="29" t="n">
        <v>1</v>
      </c>
      <c r="D26" s="29" t="inlineStr">
        <is>
          <t>Stk</t>
        </is>
      </c>
      <c r="E26" s="29" t="inlineStr">
        <is>
          <t>in DIN direkt am LED-Streifen</t>
        </is>
      </c>
      <c r="F26" s="29" t="inlineStr">
        <is>
          <t>Pflicht</t>
        </is>
      </c>
    </row>
    <row r="27" ht="15" customHeight="1" s="27">
      <c r="A27" s="29" t="n">
        <v>26</v>
      </c>
      <c r="B27" s="29" t="inlineStr">
        <is>
          <t>Widerstand 4,7 kΩ</t>
        </is>
      </c>
      <c r="C27" s="29" t="n">
        <v>1</v>
      </c>
      <c r="D27" s="29" t="inlineStr">
        <is>
          <t>Stk</t>
        </is>
      </c>
      <c r="E27" s="29" t="inlineStr">
        <is>
          <t>GPIO18 → Basis BC547B</t>
        </is>
      </c>
      <c r="F27" s="29" t="inlineStr">
        <is>
          <t>Pflicht</t>
        </is>
      </c>
    </row>
    <row r="28" ht="15" customHeight="1" s="27">
      <c r="A28" s="29" t="n">
        <v>27</v>
      </c>
      <c r="B28" s="29" t="inlineStr">
        <is>
          <t>Widerstand 47 kΩ</t>
        </is>
      </c>
      <c r="C28" s="29" t="n">
        <v>2</v>
      </c>
      <c r="D28" s="29" t="inlineStr">
        <is>
          <t>Stk</t>
        </is>
      </c>
      <c r="E28" s="29" t="inlineStr">
        <is>
          <t>Basis→GND (BC547B), Gate→Source Q2</t>
        </is>
      </c>
      <c r="F28" s="29" t="inlineStr">
        <is>
          <t>Pflicht</t>
        </is>
      </c>
    </row>
    <row r="29" ht="15" customHeight="1" s="27">
      <c r="A29" s="29" t="n">
        <v>28</v>
      </c>
      <c r="B29" s="29" t="inlineStr">
        <is>
          <t>Widerstand 10 kΩ</t>
        </is>
      </c>
      <c r="C29" s="29" t="n">
        <v>1</v>
      </c>
      <c r="D29" s="29" t="inlineStr">
        <is>
          <t>Stk</t>
        </is>
      </c>
      <c r="E29" s="29" t="inlineStr">
        <is>
          <t>Gate→Source Q1 (zusätzlich zu Pos. 14)</t>
        </is>
      </c>
      <c r="F29" s="29" t="inlineStr">
        <is>
          <t>Pflicht</t>
        </is>
      </c>
    </row>
    <row r="30" ht="15" customHeight="1" s="27">
      <c r="A30" s="29" t="n">
        <v>29</v>
      </c>
      <c r="B30" s="29" t="inlineStr">
        <is>
          <t>SOT-23-Adapter (Breakout auf 2,54 mm)</t>
        </is>
      </c>
      <c r="C30" s="29" t="n">
        <v>2</v>
      </c>
      <c r="D30" s="29" t="inlineStr">
        <is>
          <t>Stk</t>
        </is>
      </c>
      <c r="E30" s="29" t="inlineStr">
        <is>
          <t>je ein AO3401A</t>
        </is>
      </c>
      <c r="F30" s="29" t="inlineStr">
        <is>
          <t>Pflicht</t>
        </is>
      </c>
    </row>
    <row r="31" ht="15" customHeight="1" s="27">
      <c r="A31" s="29" t="n">
        <v>30</v>
      </c>
      <c r="B31" s="29" t="inlineStr">
        <is>
          <t>Stiftleiste 1×20, RM 2,54</t>
        </is>
      </c>
      <c r="C31" s="29" t="n">
        <v>1</v>
      </c>
      <c r="D31" s="29" t="inlineStr">
        <is>
          <t>Stk</t>
        </is>
      </c>
      <c r="E31" s="29" t="inlineStr">
        <is>
          <t>für die SOT-23-Adapter</t>
        </is>
      </c>
      <c r="F31" s="29" t="inlineStr">
        <is>
          <t>Pflicht</t>
        </is>
      </c>
    </row>
    <row r="32" ht="15" customHeight="1" s="27">
      <c r="A32" s="29" t="n">
        <v>31</v>
      </c>
      <c r="B32" s="29" t="inlineStr">
        <is>
          <t>Elko 470 µF / 25 V (Ø 10 × 16 mm)</t>
        </is>
      </c>
      <c r="C32" s="29" t="n">
        <v>1</v>
      </c>
      <c r="D32" s="29" t="inlineStr">
        <is>
          <t>Stk</t>
        </is>
      </c>
      <c r="E32" s="29" t="inlineStr">
        <is>
          <t>5 V → GND vor Q1, liegend</t>
        </is>
      </c>
      <c r="F32" s="29" t="inlineStr">
        <is>
          <t>Pflicht</t>
        </is>
      </c>
    </row>
    <row r="33" ht="15" customHeight="1" s="27">
      <c r="A33" s="29" t="n">
        <v>32</v>
      </c>
      <c r="B33" s="29" t="inlineStr">
        <is>
          <t>Lochrasterplatine (Zuschnitt 30 × 24,5 mm)</t>
        </is>
      </c>
      <c r="C33" s="29" t="n">
        <v>1</v>
      </c>
      <c r="D33" s="29" t="inlineStr">
        <is>
          <t>Stk</t>
        </is>
      </c>
      <c r="E33" s="29" t="inlineStr">
        <is>
          <t>FET-Platine</t>
        </is>
      </c>
      <c r="F33" s="29" t="inlineStr">
        <is>
          <t>Pflicht</t>
        </is>
      </c>
    </row>
    <row r="34" ht="15" customHeight="1" s="27">
      <c r="A34" s="29" t="n">
        <v>33</v>
      </c>
      <c r="B34" s="29" t="inlineStr">
        <is>
          <t>Ein/Aus-Schiebeschalter C&amp;K OS102011MS2QN1</t>
        </is>
      </c>
      <c r="C34" s="29" t="n">
        <v>1</v>
      </c>
      <c r="D34" s="29" t="inlineStr">
        <is>
          <t>Stk</t>
        </is>
      </c>
      <c r="E34" s="29" t="inlineStr">
        <is>
          <t>1× Um (ON-ON), 8,6 × 4,3 × 4 mm, Schieber 2 mm, in der linken Wand</t>
        </is>
      </c>
      <c r="F34" s="29" t="inlineStr">
        <is>
          <t>Pflicht</t>
        </is>
      </c>
    </row>
    <row r="35" ht="15" customHeight="1" s="27">
      <c r="A35" s="29" t="n">
        <v>34</v>
      </c>
      <c r="B35" s="29" t="inlineStr">
        <is>
          <t>Klemmkeile für den Schalter (3D-Druck)</t>
        </is>
      </c>
      <c r="C35" s="29" t="n">
        <v>2</v>
      </c>
      <c r="D35" s="29" t="inlineStr">
        <is>
          <t>Stk</t>
        </is>
      </c>
      <c r="E35" s="29" t="inlineStr">
        <is>
          <t>aus PLA gedruckt (stl/schalter_keile.stl), 0 €</t>
        </is>
      </c>
      <c r="F35" s="29" t="inlineStr">
        <is>
          <t>Pflicht</t>
        </is>
      </c>
    </row>
    <row r="37" ht="15" customHeight="1" s="27">
      <c r="A37" s="26" t="inlineStr">
        <is>
          <t>* Pflicht, sofern nicht gelötet wird bzw. Kabel nicht beim CYD dabei ist. Ein/Aus-Schalter ab V4 (Pos. 33, schaltet über den P-MOSFET Q2 den Akku). Keine Einpressmuttern/Muttern nötig (M3 schneidet selbst ins 2,5-mm-Loch).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6" min="1" max="1"/>
    <col width="16" customWidth="1" style="26" min="2" max="3"/>
    <col width="42" customWidth="1" style="26" min="4" max="4"/>
    <col width="13" customWidth="1" style="26" min="5" max="5"/>
    <col width="8" customWidth="1" style="26" min="6" max="6"/>
    <col width="12" customWidth="1" style="26" min="7" max="7"/>
    <col width="11" customWidth="1" style="26" min="8" max="8"/>
    <col width="8" customWidth="1" style="26" min="9" max="9"/>
    <col width="12" customWidth="1" style="26" min="10" max="10"/>
    <col width="26" customWidth="1" style="26" min="11" max="11"/>
    <col width="11" customWidth="1" style="26" min="12" max="12"/>
    <col width="45" customWidth="1" style="26" min="13" max="13"/>
    <col width="11" customWidth="1" style="26" min="14" max="14"/>
    <col width="50" customWidth="1" style="26" min="15" max="15"/>
    <col width="12" customWidth="1" style="26" min="16" max="16"/>
  </cols>
  <sheetData>
    <row r="1" ht="41.25" customHeight="1" s="27">
      <c r="A1" s="28" t="inlineStr">
        <is>
          <t>Pos</t>
        </is>
      </c>
      <c r="B1" s="28" t="inlineStr">
        <is>
          <t>Bauteil</t>
        </is>
      </c>
      <c r="C1" s="28" t="inlineStr">
        <is>
          <t>Shop</t>
        </is>
      </c>
      <c r="D1" s="28" t="inlineStr">
        <is>
          <t>Produkt</t>
        </is>
      </c>
      <c r="E1" s="28" t="inlineStr">
        <is>
          <t>Packung</t>
        </is>
      </c>
      <c r="F1" s="28" t="inlineStr">
        <is>
          <t>Stk/Packung</t>
        </is>
      </c>
      <c r="G1" s="28" t="inlineStr">
        <is>
          <t>Preis € (inkl. MwSt.)</t>
        </is>
      </c>
      <c r="H1" s="28" t="inlineStr">
        <is>
          <t>Preis pro Stück €</t>
        </is>
      </c>
      <c r="I1" s="28" t="inlineStr">
        <is>
          <t>benötigt</t>
        </is>
      </c>
      <c r="J1" s="28" t="inlineStr">
        <is>
          <t>Kosten für Bedarf €</t>
        </is>
      </c>
      <c r="K1" s="28" t="inlineStr">
        <is>
          <t>Versand</t>
        </is>
      </c>
      <c r="L1" s="28" t="inlineStr">
        <is>
          <t>Lieferzeit</t>
        </is>
      </c>
      <c r="M1" s="28" t="inlineStr">
        <is>
          <t>Link</t>
        </is>
      </c>
      <c r="N1" s="28" t="inlineStr">
        <is>
          <t>Datum geprüft</t>
        </is>
      </c>
      <c r="O1" s="28" t="inlineStr">
        <is>
          <t>Hinweis / Status</t>
        </is>
      </c>
      <c r="P1" s="28" t="inlineStr">
        <is>
          <t>günstigste</t>
        </is>
      </c>
    </row>
    <row r="2" ht="27.75" customHeight="1" s="27">
      <c r="A2" s="29" t="n">
        <v>1</v>
      </c>
      <c r="B2" s="29" t="inlineStr">
        <is>
          <t>CYD</t>
        </is>
      </c>
      <c r="C2" s="29" t="inlineStr">
        <is>
          <t>Amazon</t>
        </is>
      </c>
      <c r="D2" s="29" t="inlineStr">
        <is>
          <t>Fastsaw ESP32-2432S028R 2,8" Touch, USB-C</t>
        </is>
      </c>
      <c r="E2" s="29" t="inlineStr">
        <is>
          <t>1 Stk</t>
        </is>
      </c>
      <c r="F2" s="29" t="n">
        <v>1</v>
      </c>
      <c r="G2" s="30" t="n">
        <v>17.99</v>
      </c>
      <c r="H2" s="31">
        <f>G2/F2</f>
        <v/>
      </c>
      <c r="I2" s="29" t="n">
        <v>1</v>
      </c>
      <c r="J2" s="30">
        <f>ROUNDUP(I2/F2,0)*G2</f>
        <v/>
      </c>
      <c r="K2" s="29" t="inlineStr">
        <is>
          <t>frei ab 49 € (Versand durch Amazon), sonst 3,99 €</t>
        </is>
      </c>
      <c r="L2" s="29" t="inlineStr">
        <is>
          <t>1–3 Tage</t>
        </is>
      </c>
      <c r="M2" s="32" t="inlineStr">
        <is>
          <t>https://www.amazon.de/dp/B0G1N16Q16</t>
        </is>
      </c>
      <c r="N2" s="29" t="inlineStr">
        <is>
          <t>08.10.2026</t>
        </is>
      </c>
      <c r="O2" s="29" t="inlineStr">
        <is>
          <t>Verkauf Fastsaw, Versand durch Amazon; ILI9341, Touch geprüft</t>
        </is>
      </c>
      <c r="P2" s="29" t="n"/>
    </row>
    <row r="3" ht="27.75" customHeight="1" s="27">
      <c r="A3" s="33" t="n">
        <v>1</v>
      </c>
      <c r="B3" s="33" t="inlineStr">
        <is>
          <t>CYD</t>
        </is>
      </c>
      <c r="C3" s="33" t="inlineStr">
        <is>
          <t>AliExpress</t>
        </is>
      </c>
      <c r="D3" s="33" t="inlineStr">
        <is>
          <t>ESP32-2432S028R 2,8" Touch ILI9341 (1/2/4 Stk)</t>
        </is>
      </c>
      <c r="E3" s="33" t="inlineStr">
        <is>
          <t>1 Stk</t>
        </is>
      </c>
      <c r="F3" s="33" t="n">
        <v>1</v>
      </c>
      <c r="G3" s="34" t="n">
        <v>15.39</v>
      </c>
      <c r="H3" s="35">
        <f>G3/F3</f>
        <v/>
      </c>
      <c r="I3" s="33" t="n">
        <v>1</v>
      </c>
      <c r="J3" s="34">
        <f>ROUNDUP(I3/F3,0)*G3</f>
        <v/>
      </c>
      <c r="K3" s="33" t="inlineStr">
        <is>
          <t>laut Suchliste kostenlos</t>
        </is>
      </c>
      <c r="L3" s="33" t="inlineStr">
        <is>
          <t>1–3 Wochen</t>
        </is>
      </c>
      <c r="M3" s="36" t="inlineStr">
        <is>
          <t>https://de.aliexpress.com/item/1005009535167188.html</t>
        </is>
      </c>
      <c r="N3" s="33" t="inlineStr">
        <is>
          <t>08.10.2026</t>
        </is>
      </c>
      <c r="O3" s="33" t="inlineStr">
        <is>
          <t>ab-Preis lt. Suchliste (günstigste Variante); Variante im Warenkorb prüfen; erst 10 verkauft</t>
        </is>
      </c>
      <c r="P3" s="33" t="inlineStr">
        <is>
          <t>✔ günstigste</t>
        </is>
      </c>
    </row>
    <row r="4" ht="27.75" customHeight="1" s="27">
      <c r="A4" s="29" t="n">
        <v>1</v>
      </c>
      <c r="B4" s="29" t="inlineStr">
        <is>
          <t>CYD</t>
        </is>
      </c>
      <c r="C4" s="29" t="inlineStr">
        <is>
          <t>AliExpress</t>
        </is>
      </c>
      <c r="D4" s="29" t="inlineStr">
        <is>
          <t>ESP32-2432S028R 2,8" Touch (Bestseller, 4,8★, 1.000+ verkauft)</t>
        </is>
      </c>
      <c r="E4" s="29" t="inlineStr">
        <is>
          <t>1 Stk</t>
        </is>
      </c>
      <c r="F4" s="29" t="n">
        <v>1</v>
      </c>
      <c r="G4" s="30" t="n">
        <v>17.89</v>
      </c>
      <c r="H4" s="31">
        <f>G4/F4</f>
        <v/>
      </c>
      <c r="I4" s="29" t="n">
        <v>1</v>
      </c>
      <c r="J4" s="30">
        <f>ROUNDUP(I4/F4,0)*G4</f>
        <v/>
      </c>
      <c r="K4" s="29" t="inlineStr">
        <is>
          <t>nicht lesbar</t>
        </is>
      </c>
      <c r="L4" s="29" t="inlineStr">
        <is>
          <t>1–3 Wochen</t>
        </is>
      </c>
      <c r="M4" s="32" t="inlineStr">
        <is>
          <t>https://de.aliexpress.com/item/1005007708576179.html</t>
        </is>
      </c>
      <c r="N4" s="29" t="inlineStr">
        <is>
          <t>08.10.2026</t>
        </is>
      </c>
      <c r="O4" s="29" t="inlineStr">
        <is>
          <t>ab-Preis lt. Suchliste; Versand nicht lesbar</t>
        </is>
      </c>
      <c r="P4" s="29" t="n"/>
    </row>
    <row r="5" ht="41.25" customHeight="1" s="27">
      <c r="A5" s="37" t="n">
        <v>1</v>
      </c>
      <c r="B5" s="37" t="inlineStr">
        <is>
          <t>CYD</t>
        </is>
      </c>
      <c r="C5" s="37" t="inlineStr">
        <is>
          <t>Berrybase / Reichelt / AZ-Delivery</t>
        </is>
      </c>
      <c r="D5" s="37" t="inlineStr">
        <is>
          <t>—</t>
        </is>
      </c>
      <c r="E5" s="37" t="inlineStr">
        <is>
          <t>—</t>
        </is>
      </c>
      <c r="F5" s="37" t="n">
        <v>1</v>
      </c>
      <c r="G5" s="37" t="inlineStr">
        <is>
          <t>—</t>
        </is>
      </c>
      <c r="H5" s="37" t="n"/>
      <c r="I5" s="37" t="n">
        <v>1</v>
      </c>
      <c r="J5" s="37" t="n"/>
      <c r="K5" s="37" t="inlineStr">
        <is>
          <t>—</t>
        </is>
      </c>
      <c r="L5" s="37" t="inlineStr">
        <is>
          <t>—</t>
        </is>
      </c>
      <c r="M5" s="37" t="n"/>
      <c r="N5" s="37" t="inlineStr">
        <is>
          <t>08.10.2026</t>
        </is>
      </c>
      <c r="O5" s="37" t="inlineStr">
        <is>
          <t>nicht im Sortiment</t>
        </is>
      </c>
      <c r="P5" s="37" t="n"/>
    </row>
    <row r="6" ht="27.75" customHeight="1" s="27">
      <c r="A6" s="29" t="n">
        <v>2</v>
      </c>
      <c r="B6" s="29" t="inlineStr">
        <is>
          <t>Wägezelle+HX711</t>
        </is>
      </c>
      <c r="C6" s="29" t="inlineStr">
        <is>
          <t>Amazon</t>
        </is>
      </c>
      <c r="D6" s="29" t="inlineStr">
        <is>
          <t>DIYmalls 5 kg Wägezelle + HX711</t>
        </is>
      </c>
      <c r="E6" s="29" t="inlineStr">
        <is>
          <t>1 Set</t>
        </is>
      </c>
      <c r="F6" s="29" t="n">
        <v>1</v>
      </c>
      <c r="G6" s="30" t="n">
        <v>8.970000000000001</v>
      </c>
      <c r="H6" s="31">
        <f>G6/F6</f>
        <v/>
      </c>
      <c r="I6" s="29" t="n">
        <v>1</v>
      </c>
      <c r="J6" s="30">
        <f>ROUNDUP(I6/F6,0)*G6</f>
        <v/>
      </c>
      <c r="K6" s="29" t="inlineStr">
        <is>
          <t>frei ab 49 € (Versand durch Amazon), sonst 3,99 €</t>
        </is>
      </c>
      <c r="L6" s="29" t="inlineStr">
        <is>
          <t>1–3 Tage</t>
        </is>
      </c>
      <c r="M6" s="32" t="inlineStr">
        <is>
          <t>https://www.amazon.de/dp/B0B9H3YMT2</t>
        </is>
      </c>
      <c r="N6" s="29" t="inlineStr">
        <is>
          <t>08.10.2026</t>
        </is>
      </c>
      <c r="O6" s="29" t="inlineStr">
        <is>
          <t>keine Schrauben dabei; HX711-Stiftleiste nicht gelötet</t>
        </is>
      </c>
      <c r="P6" s="29" t="n"/>
    </row>
    <row r="7" ht="27.75" customHeight="1" s="27">
      <c r="A7" s="33" t="n">
        <v>2</v>
      </c>
      <c r="B7" s="33" t="inlineStr">
        <is>
          <t>Wägezelle+HX711</t>
        </is>
      </c>
      <c r="C7" s="33" t="inlineStr">
        <is>
          <t>AliExpress</t>
        </is>
      </c>
      <c r="D7" s="33" t="inlineStr">
        <is>
          <t>Wägezelle 1–20 kg + HX711 (Set, Variante wählbar)</t>
        </is>
      </c>
      <c r="E7" s="33" t="inlineStr">
        <is>
          <t>1 Set</t>
        </is>
      </c>
      <c r="F7" s="33" t="n">
        <v>1</v>
      </c>
      <c r="G7" s="34" t="n">
        <v>4.89</v>
      </c>
      <c r="H7" s="35">
        <f>G7/F7</f>
        <v/>
      </c>
      <c r="I7" s="33" t="n">
        <v>1</v>
      </c>
      <c r="J7" s="34">
        <f>ROUNDUP(I7/F7,0)*G7</f>
        <v/>
      </c>
      <c r="K7" s="33" t="inlineStr">
        <is>
          <t>AliExpress Choice: frei ab 10 € Bestellwert</t>
        </is>
      </c>
      <c r="L7" s="33" t="inlineStr">
        <is>
          <t>1–3 Wochen</t>
        </is>
      </c>
      <c r="M7" s="36" t="inlineStr">
        <is>
          <t>https://de.aliexpress.com/item/1005009230467552.html</t>
        </is>
      </c>
      <c r="N7" s="33" t="inlineStr">
        <is>
          <t>08.10.2026</t>
        </is>
      </c>
      <c r="O7" s="33" t="inlineStr">
        <is>
          <t>ab-Preis = günstigste Variante; Preis der 5-kg-Variante NICHT lesbar</t>
        </is>
      </c>
      <c r="P7" s="33" t="inlineStr">
        <is>
          <t>✔ günstigste</t>
        </is>
      </c>
    </row>
    <row r="8" ht="15" customHeight="1" s="27">
      <c r="A8" s="37" t="n">
        <v>2</v>
      </c>
      <c r="B8" s="37" t="inlineStr">
        <is>
          <t>Wägezelle+HX711</t>
        </is>
      </c>
      <c r="C8" s="37" t="inlineStr">
        <is>
          <t>Berrybase</t>
        </is>
      </c>
      <c r="D8" s="37" t="inlineStr">
        <is>
          <t>Wägezelle 5 kg (5,40 €) + HX711 (1,25 €)</t>
        </is>
      </c>
      <c r="E8" s="37" t="inlineStr">
        <is>
          <t>1+1</t>
        </is>
      </c>
      <c r="F8" s="37" t="n">
        <v>1</v>
      </c>
      <c r="G8" s="37" t="inlineStr">
        <is>
          <t>—</t>
        </is>
      </c>
      <c r="H8" s="37" t="n"/>
      <c r="I8" s="37" t="n">
        <v>1</v>
      </c>
      <c r="J8" s="37" t="n"/>
      <c r="K8" s="37" t="inlineStr">
        <is>
          <t>4,95 € DHL, frei ab 150 €</t>
        </is>
      </c>
      <c r="L8" s="37" t="inlineStr">
        <is>
          <t>—</t>
        </is>
      </c>
      <c r="M8" s="38" t="inlineStr">
        <is>
          <t>https://www.berrybase.de/dehnungsmessstreifen-waegezelle-5kg</t>
        </is>
      </c>
      <c r="N8" s="37" t="inlineStr">
        <is>
          <t>08.10.2026</t>
        </is>
      </c>
      <c r="O8" s="37" t="inlineStr">
        <is>
          <t>beide aktuell NICHT lieferbar</t>
        </is>
      </c>
      <c r="P8" s="37" t="n"/>
    </row>
    <row r="9" ht="27.75" customHeight="1" s="27">
      <c r="A9" s="37" t="n">
        <v>2</v>
      </c>
      <c r="B9" s="37" t="inlineStr">
        <is>
          <t>Wägezelle+HX711</t>
        </is>
      </c>
      <c r="C9" s="37" t="inlineStr">
        <is>
          <t>Reichelt</t>
        </is>
      </c>
      <c r="D9" s="37" t="inlineStr">
        <is>
          <t>Joy-IT SEN-HX711-05</t>
        </is>
      </c>
      <c r="E9" s="37" t="inlineStr">
        <is>
          <t>1 Set</t>
        </is>
      </c>
      <c r="F9" s="37" t="n">
        <v>1</v>
      </c>
      <c r="G9" s="39" t="n">
        <v>6.4</v>
      </c>
      <c r="H9" s="40">
        <f>G9/F9</f>
        <v/>
      </c>
      <c r="I9" s="37" t="n">
        <v>1</v>
      </c>
      <c r="J9" s="39">
        <f>ROUNDUP(I9/F9,0)*G9</f>
        <v/>
      </c>
      <c r="K9" s="37" t="inlineStr">
        <is>
          <t>5,95 € DHL</t>
        </is>
      </c>
      <c r="L9" s="37" t="inlineStr">
        <is>
          <t>1–2 Tage</t>
        </is>
      </c>
      <c r="M9" s="37" t="n"/>
      <c r="N9" s="37" t="inlineStr">
        <is>
          <t>08.10.2026</t>
        </is>
      </c>
      <c r="O9" s="37" t="inlineStr">
        <is>
          <t>PASST NICHT: Zelle 80×15×14,2 mm, nur M4 – Gehäuse müsste geändert werden</t>
        </is>
      </c>
      <c r="P9" s="37" t="n"/>
    </row>
    <row r="10" ht="27.75" customHeight="1" s="27">
      <c r="A10" s="29" t="n">
        <v>3</v>
      </c>
      <c r="B10" s="29" t="inlineStr">
        <is>
          <t>WS2812B COB</t>
        </is>
      </c>
      <c r="C10" s="29" t="inlineStr">
        <is>
          <t>Amazon</t>
        </is>
      </c>
      <c r="D10" s="29" t="inlineStr">
        <is>
          <t>BTF-LIGHTING WS2812B FCOB 1 m 160 LED/m 5 V, 5 mm</t>
        </is>
      </c>
      <c r="E10" s="29" t="inlineStr">
        <is>
          <t>1 m</t>
        </is>
      </c>
      <c r="F10" s="29" t="n">
        <v>1</v>
      </c>
      <c r="G10" s="30" t="n">
        <v>16.99</v>
      </c>
      <c r="H10" s="31">
        <f>G10/F10</f>
        <v/>
      </c>
      <c r="I10" s="29" t="n">
        <v>1</v>
      </c>
      <c r="J10" s="30">
        <f>ROUNDUP(I10/F10,0)*G10</f>
        <v/>
      </c>
      <c r="K10" s="29" t="inlineStr">
        <is>
          <t>frei ab 49 € (Versand durch Amazon), sonst 3,99 €</t>
        </is>
      </c>
      <c r="L10" s="29" t="inlineStr">
        <is>
          <t>1–3 Tage</t>
        </is>
      </c>
      <c r="M10" s="32" t="inlineStr">
        <is>
          <t>https://www.amazon.de/dp/B0H41MCVSW</t>
        </is>
      </c>
      <c r="N10" s="29" t="inlineStr">
        <is>
          <t>08.10.2026</t>
        </is>
      </c>
      <c r="O10" s="29" t="inlineStr">
        <is>
          <t>GEWÄHLT (Design-Änderung): Variante „1M 160LEDs/m 5mm“ wählen; jede LED eigener IC, teilbar alle 12,5 mm → 26 LEDs (162,5 mm)</t>
        </is>
      </c>
      <c r="P10" s="29" t="n"/>
    </row>
    <row r="11" ht="27.75" customHeight="1" s="27">
      <c r="A11" s="33" t="n">
        <v>3</v>
      </c>
      <c r="B11" s="33" t="inlineStr">
        <is>
          <t>WS2812B COB</t>
        </is>
      </c>
      <c r="C11" s="33" t="inlineStr">
        <is>
          <t>AliExpress</t>
        </is>
      </c>
      <c r="D11" s="33" t="inlineStr">
        <is>
          <t>WS2812B FCOB COB-Streifen (Variante wählbar)</t>
        </is>
      </c>
      <c r="E11" s="33" t="inlineStr">
        <is>
          <t>Rolle (Variante)</t>
        </is>
      </c>
      <c r="F11" s="33" t="n">
        <v>1</v>
      </c>
      <c r="G11" s="34" t="n">
        <v>7.59</v>
      </c>
      <c r="H11" s="35">
        <f>G11/F11</f>
        <v/>
      </c>
      <c r="I11" s="33" t="n">
        <v>1</v>
      </c>
      <c r="J11" s="34">
        <f>ROUNDUP(I11/F11,0)*G11</f>
        <v/>
      </c>
      <c r="K11" s="33" t="inlineStr">
        <is>
          <t>nicht lesbar</t>
        </is>
      </c>
      <c r="L11" s="33" t="inlineStr">
        <is>
          <t>1–3 Wochen</t>
        </is>
      </c>
      <c r="M11" s="36" t="inlineStr">
        <is>
          <t>https://de.aliexpress.com/item/1005006422072860.html</t>
        </is>
      </c>
      <c r="N11" s="33" t="inlineStr">
        <is>
          <t>08.10.2026</t>
        </is>
      </c>
      <c r="O11" s="33" t="inlineStr">
        <is>
          <t>ab-Preis = günstigste Variante; Preis für 1 m / 160 LED/m / 5 mm NICHT lesbar</t>
        </is>
      </c>
      <c r="P11" s="33" t="inlineStr">
        <is>
          <t>✔ günstigste</t>
        </is>
      </c>
    </row>
    <row r="12" ht="15" customHeight="1" s="27">
      <c r="A12" s="37" t="n">
        <v>3</v>
      </c>
      <c r="B12" s="37" t="inlineStr">
        <is>
          <t>WS2812B (alt)</t>
        </is>
      </c>
      <c r="C12" s="37" t="inlineStr">
        <is>
          <t>Amazon</t>
        </is>
      </c>
      <c r="D12" s="37" t="inlineStr">
        <is>
          <t>BTF-Lighting WS2812B ECO 1 m 60 LED/m IP30, 10 mm</t>
        </is>
      </c>
      <c r="E12" s="37" t="inlineStr">
        <is>
          <t>1 m</t>
        </is>
      </c>
      <c r="F12" s="37" t="n">
        <v>1</v>
      </c>
      <c r="G12" s="39" t="n">
        <v>9.49</v>
      </c>
      <c r="H12" s="40">
        <f>G12/F12</f>
        <v/>
      </c>
      <c r="I12" s="37" t="n">
        <v>1</v>
      </c>
      <c r="J12" s="39">
        <f>ROUNDUP(I12/F12,0)*G12</f>
        <v/>
      </c>
      <c r="K12" s="37" t="inlineStr">
        <is>
          <t>frei ab 49 € (Versand durch Amazon), sonst 3,99 €</t>
        </is>
      </c>
      <c r="L12" s="37" t="inlineStr">
        <is>
          <t>1–3 Tage</t>
        </is>
      </c>
      <c r="M12" s="38" t="inlineStr">
        <is>
          <t>https://www.amazon.de/dp/B088BRY2SH</t>
        </is>
      </c>
      <c r="N12" s="37" t="inlineStr">
        <is>
          <t>08.10.2026</t>
        </is>
      </c>
      <c r="O12" s="37" t="inlineStr">
        <is>
          <t>GESTRICHEN 08.10.2026: einzelne LED-Punkte sichtbar, 10 mm breit → ersetzt durch COB-Streifen</t>
        </is>
      </c>
      <c r="P12" s="37" t="n"/>
    </row>
    <row r="13" ht="15" customHeight="1" s="27">
      <c r="A13" s="37" t="n">
        <v>3</v>
      </c>
      <c r="B13" s="37" t="inlineStr">
        <is>
          <t>WS2812B (alt)</t>
        </is>
      </c>
      <c r="C13" s="37" t="inlineStr">
        <is>
          <t>AliExpress</t>
        </is>
      </c>
      <c r="D13" s="37" t="inlineStr">
        <is>
          <t>WS2812B 30/60/74/96/144 LED/m, schwarz/weiß</t>
        </is>
      </c>
      <c r="E13" s="37" t="inlineStr">
        <is>
          <t>Rolle (Variante)</t>
        </is>
      </c>
      <c r="F13" s="37" t="n">
        <v>1</v>
      </c>
      <c r="G13" s="39" t="n">
        <v>6.19</v>
      </c>
      <c r="H13" s="40">
        <f>G13/F13</f>
        <v/>
      </c>
      <c r="I13" s="37" t="n">
        <v>1</v>
      </c>
      <c r="J13" s="39">
        <f>ROUNDUP(I13/F13,0)*G13</f>
        <v/>
      </c>
      <c r="K13" s="37" t="inlineStr">
        <is>
          <t>laut Suchliste kostenlos</t>
        </is>
      </c>
      <c r="L13" s="37" t="inlineStr">
        <is>
          <t>1–3 Wochen</t>
        </is>
      </c>
      <c r="M13" s="37" t="inlineStr">
        <is>
          <t>https://de.aliexpress.com/item/1005008750140385.html</t>
        </is>
      </c>
      <c r="N13" s="37" t="inlineStr">
        <is>
          <t>08.10.2026</t>
        </is>
      </c>
      <c r="O13" s="37" t="inlineStr">
        <is>
          <t>GESTRICHEN 08.10.2026: normaler Punkt-Streifen statt COB</t>
        </is>
      </c>
      <c r="P13" s="37" t="n"/>
    </row>
    <row r="14" ht="27.75" customHeight="1" s="27">
      <c r="A14" s="29" t="n">
        <v>4</v>
      </c>
      <c r="B14" s="29" t="inlineStr">
        <is>
          <t>Regensensor</t>
        </is>
      </c>
      <c r="C14" s="29" t="inlineStr">
        <is>
          <t>Berrybase</t>
        </is>
      </c>
      <c r="D14" s="29" t="inlineStr">
        <is>
          <t>Regensensor mit digitalem und analogem Ausgang</t>
        </is>
      </c>
      <c r="E14" s="29" t="inlineStr">
        <is>
          <t>1 Set</t>
        </is>
      </c>
      <c r="F14" s="29" t="n">
        <v>1</v>
      </c>
      <c r="G14" s="30" t="n">
        <v>1.8</v>
      </c>
      <c r="H14" s="31">
        <f>G14/F14</f>
        <v/>
      </c>
      <c r="I14" s="29" t="n">
        <v>1</v>
      </c>
      <c r="J14" s="30">
        <f>ROUNDUP(I14/F14,0)*G14</f>
        <v/>
      </c>
      <c r="K14" s="29" t="inlineStr">
        <is>
          <t>4,95 € DHL, frei ab 150 €</t>
        </is>
      </c>
      <c r="L14" s="29" t="inlineStr">
        <is>
          <t>1–3 Tage</t>
        </is>
      </c>
      <c r="M14" s="32" t="inlineStr">
        <is>
          <t>https://www.berrybase.de/regensensor-mit-digitalem-und-analogem-ausgang</t>
        </is>
      </c>
      <c r="N14" s="29" t="inlineStr">
        <is>
          <t>08.10.2026</t>
        </is>
      </c>
      <c r="O14" s="29" t="inlineStr">
        <is>
          <t>lieferbar</t>
        </is>
      </c>
      <c r="P14" s="29" t="n"/>
    </row>
    <row r="15" ht="15" customHeight="1" s="27">
      <c r="A15" s="29" t="n">
        <v>4</v>
      </c>
      <c r="B15" s="29" t="inlineStr">
        <is>
          <t>Regensensor</t>
        </is>
      </c>
      <c r="C15" s="29" t="inlineStr">
        <is>
          <t>Reichelt</t>
        </is>
      </c>
      <c r="D15" s="29" t="inlineStr">
        <is>
          <t>Regentropfen-/Feuchtigkeits-Sensormodul</t>
        </is>
      </c>
      <c r="E15" s="29" t="inlineStr">
        <is>
          <t>1 Set</t>
        </is>
      </c>
      <c r="F15" s="29" t="n">
        <v>1</v>
      </c>
      <c r="G15" s="30" t="n">
        <v>3.15</v>
      </c>
      <c r="H15" s="31">
        <f>G15/F15</f>
        <v/>
      </c>
      <c r="I15" s="29" t="n">
        <v>1</v>
      </c>
      <c r="J15" s="30">
        <f>ROUNDUP(I15/F15,0)*G15</f>
        <v/>
      </c>
      <c r="K15" s="29" t="inlineStr">
        <is>
          <t>5,95 € DHL</t>
        </is>
      </c>
      <c r="L15" s="29" t="inlineStr">
        <is>
          <t>1–2 Tage</t>
        </is>
      </c>
      <c r="M15" s="32" t="inlineStr">
        <is>
          <t>https://www.reichelt.de/de/de/shop/produkt/entwicklerboards_-_regentrofpen-_feuchtigkeits-sensormodul-282565</t>
        </is>
      </c>
      <c r="N15" s="29" t="inlineStr">
        <is>
          <t>08.10.2026</t>
        </is>
      </c>
      <c r="O15" s="29" t="n"/>
      <c r="P15" s="29" t="n"/>
    </row>
    <row r="16" ht="27.75" customHeight="1" s="27">
      <c r="A16" s="29" t="n">
        <v>4</v>
      </c>
      <c r="B16" s="29" t="inlineStr">
        <is>
          <t>Regensensor</t>
        </is>
      </c>
      <c r="C16" s="29" t="inlineStr">
        <is>
          <t>Amazon</t>
        </is>
      </c>
      <c r="D16" s="29" t="inlineStr">
        <is>
          <t>Aihasd Regensensor (2 Stk)</t>
        </is>
      </c>
      <c r="E16" s="29" t="inlineStr">
        <is>
          <t>2 Sets</t>
        </is>
      </c>
      <c r="F16" s="29" t="n">
        <v>2</v>
      </c>
      <c r="G16" s="30" t="n">
        <v>5.99</v>
      </c>
      <c r="H16" s="31">
        <f>G16/F16</f>
        <v/>
      </c>
      <c r="I16" s="29" t="n">
        <v>1</v>
      </c>
      <c r="J16" s="30">
        <f>ROUNDUP(I16/F16,0)*G16</f>
        <v/>
      </c>
      <c r="K16" s="29" t="inlineStr">
        <is>
          <t>frei ab 49 € (Versand durch Amazon), sonst 3,99 €</t>
        </is>
      </c>
      <c r="L16" s="29" t="inlineStr">
        <is>
          <t>1–3 Tage</t>
        </is>
      </c>
      <c r="M16" s="32" t="inlineStr">
        <is>
          <t>https://www.amazon.de/dp/B017M1NJR0</t>
        </is>
      </c>
      <c r="N16" s="29" t="inlineStr">
        <is>
          <t>08.10.2026</t>
        </is>
      </c>
      <c r="O16" s="29" t="inlineStr">
        <is>
          <t>Platte 5×4 cm; Rezensionen: Korrosion</t>
        </is>
      </c>
      <c r="P16" s="29" t="n"/>
    </row>
    <row r="17" ht="27.75" customHeight="1" s="27">
      <c r="A17" s="33" t="n">
        <v>4</v>
      </c>
      <c r="B17" s="33" t="inlineStr">
        <is>
          <t>Regensensor</t>
        </is>
      </c>
      <c r="C17" s="33" t="inlineStr">
        <is>
          <t>AliExpress</t>
        </is>
      </c>
      <c r="D17" s="33" t="inlineStr">
        <is>
          <t>Regentropfen-Sensormodul 3,3–5 V (1/5/10 Stk)</t>
        </is>
      </c>
      <c r="E17" s="33" t="inlineStr">
        <is>
          <t>1 Set</t>
        </is>
      </c>
      <c r="F17" s="33" t="n">
        <v>1</v>
      </c>
      <c r="G17" s="34" t="n">
        <v>1.59</v>
      </c>
      <c r="H17" s="35">
        <f>G17/F17</f>
        <v/>
      </c>
      <c r="I17" s="33" t="n">
        <v>1</v>
      </c>
      <c r="J17" s="34">
        <f>ROUNDUP(I17/F17,0)*G17</f>
        <v/>
      </c>
      <c r="K17" s="33" t="inlineStr">
        <is>
          <t>AliExpress Choice: frei ab 10 € Bestellwert</t>
        </is>
      </c>
      <c r="L17" s="33" t="inlineStr">
        <is>
          <t>1–3 Wochen</t>
        </is>
      </c>
      <c r="M17" s="36" t="inlineStr">
        <is>
          <t>https://de.aliexpress.com/item/1005007987689565.html</t>
        </is>
      </c>
      <c r="N17" s="33" t="inlineStr">
        <is>
          <t>08.10.2026</t>
        </is>
      </c>
      <c r="O17" s="33" t="inlineStr">
        <is>
          <t>ab-Preis lt. Suchliste</t>
        </is>
      </c>
      <c r="P17" s="33" t="inlineStr">
        <is>
          <t>✔ günstigste</t>
        </is>
      </c>
    </row>
    <row r="18" ht="27.75" customHeight="1" s="27">
      <c r="A18" s="33" t="n">
        <v>5</v>
      </c>
      <c r="B18" s="33" t="inlineStr">
        <is>
          <t>FET-Modul (alt)</t>
        </is>
      </c>
      <c r="C18" s="33" t="inlineStr">
        <is>
          <t>Amazon</t>
        </is>
      </c>
      <c r="D18" s="33" t="inlineStr">
        <is>
          <t>GERUI Dual-MOS Schaltmodul (8 Stk)</t>
        </is>
      </c>
      <c r="E18" s="33" t="inlineStr">
        <is>
          <t>8 Stk</t>
        </is>
      </c>
      <c r="F18" s="33" t="n">
        <v>8</v>
      </c>
      <c r="G18" s="34" t="n">
        <v>6.49</v>
      </c>
      <c r="H18" s="35">
        <f>G18/F18</f>
        <v/>
      </c>
      <c r="I18" s="33" t="n">
        <v>1</v>
      </c>
      <c r="J18" s="34">
        <f>ROUNDUP(I18/F18,0)*G18</f>
        <v/>
      </c>
      <c r="K18" s="33" t="inlineStr">
        <is>
          <t>frei ab 49 € (Versand durch Amazon), sonst 3,99 €</t>
        </is>
      </c>
      <c r="L18" s="33" t="inlineStr">
        <is>
          <t>1–3 Tage</t>
        </is>
      </c>
      <c r="M18" s="36" t="inlineStr">
        <is>
          <t>https://www.amazon.de/dp/B0DG8B58PM</t>
        </is>
      </c>
      <c r="N18" s="33" t="inlineStr">
        <is>
          <t>08.10.2026</t>
        </is>
      </c>
      <c r="O18" s="33" t="inlineStr">
        <is>
          <t>GESTRICHEN 09.10.2026 (V4): Low-Side und mit 3,3 V am Gate unsicher → P-MOSFET AO3401A (High-Side) mit BC547B-Treiber</t>
        </is>
      </c>
      <c r="P18" s="33" t="n"/>
    </row>
    <row r="19" ht="27.75" customHeight="1" s="27">
      <c r="A19" s="33" t="n">
        <v>6</v>
      </c>
      <c r="B19" s="33" t="inlineStr">
        <is>
          <t>LiPo</t>
        </is>
      </c>
      <c r="C19" s="33" t="inlineStr">
        <is>
          <t>Amazon</t>
        </is>
      </c>
      <c r="D19" s="33" t="inlineStr">
        <is>
          <t>EEMB LP103454 3,7 V, PCM, JST-PH 2.0</t>
        </is>
      </c>
      <c r="E19" s="33" t="inlineStr">
        <is>
          <t>1 Stk</t>
        </is>
      </c>
      <c r="F19" s="33" t="n">
        <v>1</v>
      </c>
      <c r="G19" s="34" t="n">
        <v>10.99</v>
      </c>
      <c r="H19" s="35">
        <f>G19/F19</f>
        <v/>
      </c>
      <c r="I19" s="33" t="n">
        <v>1</v>
      </c>
      <c r="J19" s="34">
        <f>ROUNDUP(I19/F19,0)*G19</f>
        <v/>
      </c>
      <c r="K19" s="33" t="inlineStr">
        <is>
          <t>frei ab 49 € (Versand durch Amazon), sonst 3,99 €</t>
        </is>
      </c>
      <c r="L19" s="33" t="inlineStr">
        <is>
          <t>1–3 Tage</t>
        </is>
      </c>
      <c r="M19" s="36" t="inlineStr">
        <is>
          <t>https://www.amazon.de/dp/B08214DJLJ</t>
        </is>
      </c>
      <c r="N19" s="33" t="inlineStr">
        <is>
          <t>08.10.2026</t>
        </is>
      </c>
      <c r="O19" s="33" t="inlineStr">
        <is>
          <t>34,5×56×10,6 mm → passt (ca. 1,1 mm Luft unter CYD); POLARITÄT prüfen</t>
        </is>
      </c>
      <c r="P19" s="33" t="inlineStr">
        <is>
          <t>✔ günstigste</t>
        </is>
      </c>
    </row>
    <row r="20" ht="27.75" customHeight="1" s="27">
      <c r="A20" s="37" t="n">
        <v>6</v>
      </c>
      <c r="B20" s="37" t="inlineStr">
        <is>
          <t>LiPo</t>
        </is>
      </c>
      <c r="C20" s="37" t="inlineStr">
        <is>
          <t>Berrybase / Reichelt</t>
        </is>
      </c>
      <c r="D20" s="37" t="inlineStr">
        <is>
          <t>—</t>
        </is>
      </c>
      <c r="E20" s="37" t="inlineStr">
        <is>
          <t>—</t>
        </is>
      </c>
      <c r="F20" s="37" t="n">
        <v>1</v>
      </c>
      <c r="G20" s="37" t="inlineStr">
        <is>
          <t>—</t>
        </is>
      </c>
      <c r="H20" s="37" t="n"/>
      <c r="I20" s="37" t="n">
        <v>1</v>
      </c>
      <c r="J20" s="37" t="n"/>
      <c r="K20" s="37" t="inlineStr">
        <is>
          <t>—</t>
        </is>
      </c>
      <c r="L20" s="37" t="inlineStr">
        <is>
          <t>—</t>
        </is>
      </c>
      <c r="M20" s="37" t="n"/>
      <c r="N20" s="37" t="inlineStr">
        <is>
          <t>08.10.2026</t>
        </is>
      </c>
      <c r="O20" s="37" t="inlineStr">
        <is>
          <t>kein passendes Format gefunden</t>
        </is>
      </c>
      <c r="P20" s="37" t="n"/>
    </row>
    <row r="21" ht="27.75" customHeight="1" s="27">
      <c r="A21" s="29" t="n">
        <v>7</v>
      </c>
      <c r="B21" s="29" t="inlineStr">
        <is>
          <t>TC4056 USB-C</t>
        </is>
      </c>
      <c r="C21" s="29" t="inlineStr">
        <is>
          <t>Amazon</t>
        </is>
      </c>
      <c r="D21" s="29" t="inlineStr">
        <is>
          <t>TC4056 USB-C Lademodul mit Schutz (10 Stk)</t>
        </is>
      </c>
      <c r="E21" s="29" t="inlineStr">
        <is>
          <t>10 Stk</t>
        </is>
      </c>
      <c r="F21" s="29" t="n">
        <v>10</v>
      </c>
      <c r="G21" s="30" t="n">
        <v>6.99</v>
      </c>
      <c r="H21" s="31">
        <f>G21/F21</f>
        <v/>
      </c>
      <c r="I21" s="29" t="n">
        <v>1</v>
      </c>
      <c r="J21" s="30">
        <f>ROUNDUP(I21/F21,0)*G21</f>
        <v/>
      </c>
      <c r="K21" s="29" t="inlineStr">
        <is>
          <t>frei ab 49 € (Versand durch Amazon), sonst 3,99 €</t>
        </is>
      </c>
      <c r="L21" s="29" t="inlineStr">
        <is>
          <t>1–3 Tage</t>
        </is>
      </c>
      <c r="M21" s="32" t="inlineStr">
        <is>
          <t>https://www.amazon.de/dp/B0F67KYB4F</t>
        </is>
      </c>
      <c r="N21" s="29" t="inlineStr">
        <is>
          <t>08.10.2026</t>
        </is>
      </c>
      <c r="O21" s="29" t="inlineStr">
        <is>
          <t>Maß 'Standard' – vor Einbau messen (Fach 26 mm); evtl. fehlende CC-Widerstände</t>
        </is>
      </c>
      <c r="P21" s="29" t="n"/>
    </row>
    <row r="22" ht="27.75" customHeight="1" s="27">
      <c r="A22" s="33" t="n">
        <v>7</v>
      </c>
      <c r="B22" s="33" t="inlineStr">
        <is>
          <t>TC4056 USB-C</t>
        </is>
      </c>
      <c r="C22" s="33" t="inlineStr">
        <is>
          <t>AliExpress</t>
        </is>
      </c>
      <c r="D22" s="33" t="inlineStr">
        <is>
          <t>TP4056 Typ-C/Micro mit Schutz (2/5 Stk)</t>
        </is>
      </c>
      <c r="E22" s="33" t="inlineStr">
        <is>
          <t>2 Stk (Variante)</t>
        </is>
      </c>
      <c r="F22" s="33" t="n">
        <v>2</v>
      </c>
      <c r="G22" s="34" t="n">
        <v>1.55</v>
      </c>
      <c r="H22" s="35">
        <f>G22/F22</f>
        <v/>
      </c>
      <c r="I22" s="33" t="n">
        <v>1</v>
      </c>
      <c r="J22" s="34">
        <f>ROUNDUP(I22/F22,0)*G22</f>
        <v/>
      </c>
      <c r="K22" s="33" t="inlineStr">
        <is>
          <t>nicht lesbar</t>
        </is>
      </c>
      <c r="L22" s="33" t="inlineStr">
        <is>
          <t>1–3 Wochen</t>
        </is>
      </c>
      <c r="M22" s="36" t="inlineStr">
        <is>
          <t>https://de.aliexpress.com/item/1005013255677257.html</t>
        </is>
      </c>
      <c r="N22" s="33" t="inlineStr">
        <is>
          <t>08.10.2026</t>
        </is>
      </c>
      <c r="O22" s="33" t="inlineStr">
        <is>
          <t>ab-Preis = günstigste Variante (evtl. Micro-USB) – Typ-C wählen</t>
        </is>
      </c>
      <c r="P22" s="33" t="inlineStr">
        <is>
          <t>✔ günstigste</t>
        </is>
      </c>
    </row>
    <row r="23" ht="27.75" customHeight="1" s="27">
      <c r="A23" s="37" t="n">
        <v>7</v>
      </c>
      <c r="B23" s="37" t="inlineStr">
        <is>
          <t>TC4056 USB-C</t>
        </is>
      </c>
      <c r="C23" s="37" t="inlineStr">
        <is>
          <t>Berrybase</t>
        </is>
      </c>
      <c r="D23" s="37" t="inlineStr">
        <is>
          <t>Ladeplatine mit Ausgang, Micro-USB</t>
        </is>
      </c>
      <c r="E23" s="37" t="inlineStr">
        <is>
          <t>1 Stk</t>
        </is>
      </c>
      <c r="F23" s="37" t="n">
        <v>1</v>
      </c>
      <c r="G23" s="39" t="n">
        <v>1.3</v>
      </c>
      <c r="H23" s="40">
        <f>G23/F23</f>
        <v/>
      </c>
      <c r="I23" s="37" t="n">
        <v>1</v>
      </c>
      <c r="J23" s="39">
        <f>ROUNDUP(I23/F23,0)*G23</f>
        <v/>
      </c>
      <c r="K23" s="37" t="inlineStr">
        <is>
          <t>4,95 € DHL, frei ab 150 €</t>
        </is>
      </c>
      <c r="L23" s="37" t="inlineStr">
        <is>
          <t>1–3 Tage</t>
        </is>
      </c>
      <c r="M23" s="38" t="inlineStr">
        <is>
          <t>https://www.berrybase.de/ladeplatine-fuer-3-7v-liion-lipo-akkus-mit-ausgang-micro-usb-loetpads-1000ma</t>
        </is>
      </c>
      <c r="N23" s="37" t="inlineStr">
        <is>
          <t>08.10.2026</t>
        </is>
      </c>
      <c r="O23" s="37" t="inlineStr">
        <is>
          <t>Micro-USB – Gehäuse ist für USB-C gebaut; USB-C-Version nicht lieferbar</t>
        </is>
      </c>
      <c r="P23" s="37" t="n"/>
    </row>
    <row r="24" ht="27.75" customHeight="1" s="27">
      <c r="A24" s="33" t="n">
        <v>8</v>
      </c>
      <c r="B24" s="33" t="inlineStr">
        <is>
          <t>Step-Up 5 V</t>
        </is>
      </c>
      <c r="C24" s="33" t="inlineStr">
        <is>
          <t>Berrybase</t>
        </is>
      </c>
      <c r="D24" s="33" t="inlineStr">
        <is>
          <t>Pololu S13V10F5 5 V 1 A Step-Up/Step-Down</t>
        </is>
      </c>
      <c r="E24" s="33" t="inlineStr">
        <is>
          <t>1 Stk</t>
        </is>
      </c>
      <c r="F24" s="33" t="n">
        <v>1</v>
      </c>
      <c r="G24" s="34" t="n">
        <v>9.949999999999999</v>
      </c>
      <c r="H24" s="35">
        <f>G24/F24</f>
        <v/>
      </c>
      <c r="I24" s="33" t="n">
        <v>1</v>
      </c>
      <c r="J24" s="34">
        <f>ROUNDUP(I24/F24,0)*G24</f>
        <v/>
      </c>
      <c r="K24" s="33" t="inlineStr">
        <is>
          <t>4,95 € DHL, frei ab 150 €</t>
        </is>
      </c>
      <c r="L24" s="33" t="inlineStr">
        <is>
          <t>1–3 Tage</t>
        </is>
      </c>
      <c r="M24" s="36" t="inlineStr">
        <is>
          <t>https://www.berrybase.de/pololu-s13v10f5-5v-1a-step-up-step-down-converter</t>
        </is>
      </c>
      <c r="N24" s="33" t="inlineStr">
        <is>
          <t>08.10.2026</t>
        </is>
      </c>
      <c r="O24" s="33" t="inlineStr">
        <is>
          <t>GEWÄHLT in beiden Körben (08.10.2026): fest 5 V, 1 A, UVLO, Softstart, Überstromschutz; klein (ca. 9×12 mm) → im 37×17-Fach fixieren. Vergleich: Botland 7,90 € + Versand ab 4,99 € (eigener Shop, https://botland.de/aufwarts-abwartswandler/21022-s13v10f5-aufwarts-abwartswandler-5v-1a-pololu-4083.html), Eckstein 11,80 € – Berrybase ist im Korb am günstigsten, weil der Berrybase-Versand ohnehin anfällt</t>
        </is>
      </c>
      <c r="P24" s="33" t="inlineStr">
        <is>
          <t>✔ günstigste</t>
        </is>
      </c>
    </row>
    <row r="25" ht="15" customHeight="1" s="27">
      <c r="A25" s="29" t="n">
        <v>8</v>
      </c>
      <c r="B25" s="29" t="inlineStr">
        <is>
          <t>Step-Up 5 V</t>
        </is>
      </c>
      <c r="C25" s="29" t="inlineStr">
        <is>
          <t>Berrybase</t>
        </is>
      </c>
      <c r="D25" s="29" t="inlineStr">
        <is>
          <t>Pololu S13V20F5 5 V 2 A</t>
        </is>
      </c>
      <c r="E25" s="29" t="inlineStr">
        <is>
          <t>1 Stk</t>
        </is>
      </c>
      <c r="F25" s="29" t="n">
        <v>1</v>
      </c>
      <c r="G25" s="30" t="n">
        <v>17.95</v>
      </c>
      <c r="H25" s="31">
        <f>G25/F25</f>
        <v/>
      </c>
      <c r="I25" s="29" t="n">
        <v>1</v>
      </c>
      <c r="J25" s="30">
        <f>ROUNDUP(I25/F25,0)*G25</f>
        <v/>
      </c>
      <c r="K25" s="29" t="inlineStr">
        <is>
          <t>4,95 € DHL, frei ab 150 €</t>
        </is>
      </c>
      <c r="L25" s="29" t="inlineStr">
        <is>
          <t>1–3 Tage</t>
        </is>
      </c>
      <c r="M25" s="32" t="inlineStr">
        <is>
          <t>https://www.berrybase.de/pololu-s13v20f5-5v-2a-step-up-step-down-spannungsregler</t>
        </is>
      </c>
      <c r="N25" s="29" t="inlineStr">
        <is>
          <t>08.10.2026</t>
        </is>
      </c>
      <c r="O25" s="29" t="inlineStr">
        <is>
          <t>mehr Reserve</t>
        </is>
      </c>
      <c r="P25" s="29" t="n"/>
    </row>
    <row r="26" ht="27.75" customHeight="1" s="27">
      <c r="A26" s="37" t="n">
        <v>8</v>
      </c>
      <c r="B26" s="37" t="inlineStr">
        <is>
          <t>Step-Up 5 V</t>
        </is>
      </c>
      <c r="C26" s="37" t="inlineStr">
        <is>
          <t>AliExpress</t>
        </is>
      </c>
      <c r="D26" s="37" t="inlineStr">
        <is>
          <t>MT3608 Step-Up einstellbar (2 Stk)</t>
        </is>
      </c>
      <c r="E26" s="37" t="inlineStr">
        <is>
          <t>2 Stk</t>
        </is>
      </c>
      <c r="F26" s="37" t="n">
        <v>2</v>
      </c>
      <c r="G26" s="39" t="n">
        <v>2.04</v>
      </c>
      <c r="H26" s="40">
        <f>G26/F26</f>
        <v/>
      </c>
      <c r="I26" s="37" t="n">
        <v>1</v>
      </c>
      <c r="J26" s="39">
        <f>ROUNDUP(I26/F26,0)*G26</f>
        <v/>
      </c>
      <c r="K26" s="37" t="inlineStr">
        <is>
          <t>lt. Liste '3+, kein Zollaufschlag'</t>
        </is>
      </c>
      <c r="L26" s="37" t="inlineStr">
        <is>
          <t>1–3 Wochen</t>
        </is>
      </c>
      <c r="M26" s="38" t="inlineStr">
        <is>
          <t>https://de.aliexpress.com/item/1005009806778521.html</t>
        </is>
      </c>
      <c r="N26" s="37" t="inlineStr">
        <is>
          <t>08.10.2026</t>
        </is>
      </c>
      <c r="O26" s="37" t="inlineStr">
        <is>
          <t>GESTRICHEN 08.10.2026 (auch im günstigen Korb): bei 3,7→5 V real nur ca. 0,5 A – zu wenig für CYD (0,25–0,35 A) + 26 COB-LEDs (bis ca. 0,49 A); Poti, Ripple, heiß</t>
        </is>
      </c>
      <c r="P26" s="37" t="n"/>
    </row>
    <row r="27" ht="15" customHeight="1" s="27">
      <c r="A27" s="37" t="n">
        <v>8</v>
      </c>
      <c r="B27" s="37" t="inlineStr">
        <is>
          <t>Step-Up 5 V</t>
        </is>
      </c>
      <c r="C27" s="37" t="inlineStr">
        <is>
          <t>Amazon</t>
        </is>
      </c>
      <c r="D27" s="37" t="inlineStr">
        <is>
          <t>AZDelivery 3× MT3608</t>
        </is>
      </c>
      <c r="E27" s="37" t="inlineStr">
        <is>
          <t>3 Stk</t>
        </is>
      </c>
      <c r="F27" s="37" t="n">
        <v>3</v>
      </c>
      <c r="G27" s="37" t="inlineStr">
        <is>
          <t>—</t>
        </is>
      </c>
      <c r="H27" s="37" t="n"/>
      <c r="I27" s="37" t="n">
        <v>1</v>
      </c>
      <c r="J27" s="37" t="n"/>
      <c r="K27" s="37" t="inlineStr">
        <is>
          <t>—</t>
        </is>
      </c>
      <c r="L27" s="37" t="inlineStr">
        <is>
          <t>—</t>
        </is>
      </c>
      <c r="M27" s="38" t="inlineStr">
        <is>
          <t>https://www.amazon.de/dp/B07YWKN9NW</t>
        </is>
      </c>
      <c r="N27" s="37" t="inlineStr">
        <is>
          <t>08.10.2026</t>
        </is>
      </c>
      <c r="O27" s="37" t="inlineStr">
        <is>
          <t>derzeit nicht verfügbar; außerdem zu schwach (siehe Zeile darüber)</t>
        </is>
      </c>
      <c r="P27" s="37" t="n"/>
    </row>
    <row r="28" ht="27.75" customHeight="1" s="27">
      <c r="A28" s="33" t="n">
        <v>9</v>
      </c>
      <c r="B28" s="33" t="inlineStr">
        <is>
          <t>M3×12</t>
        </is>
      </c>
      <c r="C28" s="33" t="inlineStr">
        <is>
          <t>alleschrauben.de</t>
        </is>
      </c>
      <c r="D28" s="33" t="inlineStr">
        <is>
          <t>Senkkopfschraube M3×12 Innensechskant DIN 7991 A2</t>
        </is>
      </c>
      <c r="E28" s="33" t="inlineStr">
        <is>
          <t>ab 10 Stk</t>
        </is>
      </c>
      <c r="F28" s="33" t="n">
        <v>10</v>
      </c>
      <c r="G28" s="34" t="n">
        <v>2.5</v>
      </c>
      <c r="H28" s="35">
        <f>G28/F28</f>
        <v/>
      </c>
      <c r="I28" s="33" t="n">
        <v>8</v>
      </c>
      <c r="J28" s="34">
        <f>ROUNDUP(I28/F28,0)*G28</f>
        <v/>
      </c>
      <c r="K28" s="33" t="inlineStr">
        <is>
          <t>nicht lesbar (erst im Warenkorb), frei ab 79 €</t>
        </is>
      </c>
      <c r="L28" s="33" t="inlineStr">
        <is>
          <t>1–3 Tage</t>
        </is>
      </c>
      <c r="M28" s="36" t="inlineStr">
        <is>
          <t>https://alleschrauben.de/Schrauben/Senkkopf/Senkkopfschrauben-DIN-7991/Senkkopfschrauben-M3x12-mit-Innensechskant-DIN-7991-Edelstahl-A2</t>
        </is>
      </c>
      <c r="N28" s="33" t="inlineStr">
        <is>
          <t>08.10.2026</t>
        </is>
      </c>
      <c r="O28" s="33" t="inlineStr">
        <is>
          <t>0,25 €/Stk ab 10</t>
        </is>
      </c>
      <c r="P28" s="33" t="inlineStr">
        <is>
          <t>✔ günstigste</t>
        </is>
      </c>
    </row>
    <row r="29" ht="27.75" customHeight="1" s="27">
      <c r="A29" s="33" t="n">
        <v>10</v>
      </c>
      <c r="B29" s="33" t="inlineStr">
        <is>
          <t>M4×10</t>
        </is>
      </c>
      <c r="C29" s="33" t="inlineStr">
        <is>
          <t>alleschrauben.de</t>
        </is>
      </c>
      <c r="D29" s="33" t="inlineStr">
        <is>
          <t>Senkkopfschraube M4×10 Innensechskant DIN 7991 A2</t>
        </is>
      </c>
      <c r="E29" s="33" t="inlineStr">
        <is>
          <t>Stück</t>
        </is>
      </c>
      <c r="F29" s="33" t="n">
        <v>1</v>
      </c>
      <c r="G29" s="34" t="n">
        <v>0.5600000000000001</v>
      </c>
      <c r="H29" s="35">
        <f>G29/F29</f>
        <v/>
      </c>
      <c r="I29" s="33" t="n">
        <v>2</v>
      </c>
      <c r="J29" s="34">
        <f>ROUNDUP(I29/F29,0)*G29</f>
        <v/>
      </c>
      <c r="K29" s="33" t="inlineStr">
        <is>
          <t>nicht lesbar (erst im Warenkorb), frei ab 79 €</t>
        </is>
      </c>
      <c r="L29" s="33" t="inlineStr">
        <is>
          <t>1–3 Tage</t>
        </is>
      </c>
      <c r="M29" s="36" t="inlineStr">
        <is>
          <t>https://alleschrauben.de/Schrauben/Senkkopf/Senkkopfschrauben-DIN-7991/Senkkopfschrauben-M4x10-mit-Innensechskant-DIN-7991-Edelstahl-A2</t>
        </is>
      </c>
      <c r="N29" s="33" t="inlineStr">
        <is>
          <t>08.10.2026</t>
        </is>
      </c>
      <c r="O29" s="33" t="n"/>
      <c r="P29" s="33" t="inlineStr">
        <is>
          <t>✔ günstigste</t>
        </is>
      </c>
    </row>
    <row r="30" ht="15" customHeight="1" s="27">
      <c r="A30" s="29" t="n">
        <v>10</v>
      </c>
      <c r="B30" s="29" t="inlineStr">
        <is>
          <t>M4×10</t>
        </is>
      </c>
      <c r="C30" s="29" t="inlineStr">
        <is>
          <t>Reichelt</t>
        </is>
      </c>
      <c r="D30" s="29" t="inlineStr">
        <is>
          <t>Flach-Senkkopfschrauben PZD M4×10 (50 Stk)</t>
        </is>
      </c>
      <c r="E30" s="29" t="inlineStr">
        <is>
          <t>50 Stk</t>
        </is>
      </c>
      <c r="F30" s="29" t="n">
        <v>50</v>
      </c>
      <c r="G30" s="30" t="n">
        <v>1.85</v>
      </c>
      <c r="H30" s="31">
        <f>G30/F30</f>
        <v/>
      </c>
      <c r="I30" s="29" t="n">
        <v>2</v>
      </c>
      <c r="J30" s="30">
        <f>ROUNDUP(I30/F30,0)*G30</f>
        <v/>
      </c>
      <c r="K30" s="29" t="inlineStr">
        <is>
          <t>5,95 € DHL</t>
        </is>
      </c>
      <c r="L30" s="29" t="inlineStr">
        <is>
          <t>1–2 Tage</t>
        </is>
      </c>
      <c r="M30" s="32" t="inlineStr">
        <is>
          <t>https://www.reichelt.de/de/de/shop/produkt/flach-senkkopfschrauben_kreuzschlitz_pzd_m4_10_mm_50_stueck-65750</t>
        </is>
      </c>
      <c r="N30" s="29" t="inlineStr">
        <is>
          <t>08.10.2026</t>
        </is>
      </c>
      <c r="O30" s="29" t="inlineStr">
        <is>
          <t>nur M4 – M3/M5 dort nicht gefunden</t>
        </is>
      </c>
      <c r="P30" s="29" t="n"/>
    </row>
    <row r="31" ht="27.75" customHeight="1" s="27">
      <c r="A31" s="33" t="n">
        <v>11</v>
      </c>
      <c r="B31" s="33" t="inlineStr">
        <is>
          <t>M5×12</t>
        </is>
      </c>
      <c r="C31" s="33" t="inlineStr">
        <is>
          <t>alleschrauben.de</t>
        </is>
      </c>
      <c r="D31" s="33" t="inlineStr">
        <is>
          <t>Senkkopfschraube M5×12 Innensechskant DIN 7991 A2</t>
        </is>
      </c>
      <c r="E31" s="33" t="inlineStr">
        <is>
          <t>Stück</t>
        </is>
      </c>
      <c r="F31" s="33" t="n">
        <v>1</v>
      </c>
      <c r="G31" s="34" t="n">
        <v>0.62</v>
      </c>
      <c r="H31" s="35">
        <f>G31/F31</f>
        <v/>
      </c>
      <c r="I31" s="33" t="n">
        <v>2</v>
      </c>
      <c r="J31" s="34">
        <f>ROUNDUP(I31/F31,0)*G31</f>
        <v/>
      </c>
      <c r="K31" s="33" t="inlineStr">
        <is>
          <t>nicht lesbar (erst im Warenkorb), frei ab 79 €</t>
        </is>
      </c>
      <c r="L31" s="33" t="inlineStr">
        <is>
          <t>1–3 Tage</t>
        </is>
      </c>
      <c r="M31" s="36" t="inlineStr">
        <is>
          <t>https://alleschrauben.de/Schrauben/Senkkopf/Senkkopfschrauben-DIN-7991/Senkkopfschrauben-M5x12-mit-Innensechskant-DIN-7991-Edelstahl-A2</t>
        </is>
      </c>
      <c r="N31" s="33" t="inlineStr">
        <is>
          <t>08.10.2026</t>
        </is>
      </c>
      <c r="O31" s="33" t="n"/>
      <c r="P31" s="33" t="inlineStr">
        <is>
          <t>✔ günstigste</t>
        </is>
      </c>
    </row>
    <row r="32" ht="27.75" customHeight="1" s="27">
      <c r="A32" s="33" t="n">
        <v>12</v>
      </c>
      <c r="B32" s="33" t="inlineStr">
        <is>
          <t>Füße</t>
        </is>
      </c>
      <c r="C32" s="33" t="inlineStr">
        <is>
          <t>Berrybase</t>
        </is>
      </c>
      <c r="D32" s="33" t="inlineStr">
        <is>
          <t>FIX&amp;FASTEN Fuß rund Ø10 × 4,5 mm Gummi</t>
        </is>
      </c>
      <c r="E32" s="33" t="inlineStr">
        <is>
          <t>Stück</t>
        </is>
      </c>
      <c r="F32" s="33" t="n">
        <v>1</v>
      </c>
      <c r="G32" s="34" t="n">
        <v>0.15</v>
      </c>
      <c r="H32" s="35">
        <f>G32/F32</f>
        <v/>
      </c>
      <c r="I32" s="33" t="n">
        <v>4</v>
      </c>
      <c r="J32" s="34">
        <f>ROUNDUP(I32/F32,0)*G32</f>
        <v/>
      </c>
      <c r="K32" s="33" t="inlineStr">
        <is>
          <t>4,95 € DHL, frei ab 150 €</t>
        </is>
      </c>
      <c r="L32" s="33" t="inlineStr">
        <is>
          <t>1–3 Tage</t>
        </is>
      </c>
      <c r="M32" s="36" t="inlineStr">
        <is>
          <t>https://www.berrybase.de/fix-fasten-selbstklebender-fuss-rund-oben-9-5mm-unten-10mm-hoehe-4-5mm-gummi-schwarz</t>
        </is>
      </c>
      <c r="N32" s="33" t="inlineStr">
        <is>
          <t>08.10.2026</t>
        </is>
      </c>
      <c r="O32" s="33" t="inlineStr">
        <is>
          <t>passt in Ø13-Tasche</t>
        </is>
      </c>
      <c r="P32" s="33" t="inlineStr">
        <is>
          <t>✔ günstigste</t>
        </is>
      </c>
    </row>
    <row r="33" ht="27.75" customHeight="1" s="27">
      <c r="A33" s="29" t="n">
        <v>12</v>
      </c>
      <c r="B33" s="29" t="inlineStr">
        <is>
          <t>Füße</t>
        </is>
      </c>
      <c r="C33" s="29" t="inlineStr">
        <is>
          <t>Amazon</t>
        </is>
      </c>
      <c r="D33" s="29" t="inlineStr">
        <is>
          <t>InLine Gummifüße Ø12 × 3,6 mm (20 Stk)</t>
        </is>
      </c>
      <c r="E33" s="29" t="inlineStr">
        <is>
          <t>20 Stk</t>
        </is>
      </c>
      <c r="F33" s="29" t="n">
        <v>20</v>
      </c>
      <c r="G33" s="30" t="n">
        <v>5.45</v>
      </c>
      <c r="H33" s="31">
        <f>G33/F33</f>
        <v/>
      </c>
      <c r="I33" s="29" t="n">
        <v>4</v>
      </c>
      <c r="J33" s="30">
        <f>ROUNDUP(I33/F33,0)*G33</f>
        <v/>
      </c>
      <c r="K33" s="29" t="inlineStr">
        <is>
          <t>frei ab 49 € (Versand durch Amazon), sonst 3,99 €</t>
        </is>
      </c>
      <c r="L33" s="29" t="inlineStr">
        <is>
          <t>1–3 Tage</t>
        </is>
      </c>
      <c r="M33" s="32" t="inlineStr">
        <is>
          <t>https://www.amazon.de/dp/B09LDCTQGY</t>
        </is>
      </c>
      <c r="N33" s="29" t="inlineStr">
        <is>
          <t>08.10.2026</t>
        </is>
      </c>
      <c r="O33" s="29" t="n"/>
      <c r="P33" s="29" t="n"/>
    </row>
    <row r="34" ht="27.75" customHeight="1" s="27">
      <c r="A34" s="33" t="n">
        <v>13</v>
      </c>
      <c r="B34" s="33" t="inlineStr">
        <is>
          <t>Silikonmatte</t>
        </is>
      </c>
      <c r="C34" s="33" t="inlineStr">
        <is>
          <t>Amazon</t>
        </is>
      </c>
      <c r="D34" s="33" t="inlineStr">
        <is>
          <t>FICOFISE Silikonmatte 40×30 cm, 1,2 mm</t>
        </is>
      </c>
      <c r="E34" s="33" t="inlineStr">
        <is>
          <t>1 Stk</t>
        </is>
      </c>
      <c r="F34" s="33" t="n">
        <v>1</v>
      </c>
      <c r="G34" s="34" t="n">
        <v>7.59</v>
      </c>
      <c r="H34" s="35">
        <f>G34/F34</f>
        <v/>
      </c>
      <c r="I34" s="33" t="n">
        <v>1</v>
      </c>
      <c r="J34" s="34">
        <f>ROUNDUP(I34/F34,0)*G34</f>
        <v/>
      </c>
      <c r="K34" s="33" t="inlineStr">
        <is>
          <t>frei ab 49 € (Versand durch Amazon), sonst 3,99 €</t>
        </is>
      </c>
      <c r="L34" s="33" t="inlineStr">
        <is>
          <t>1–3 Tage</t>
        </is>
      </c>
      <c r="M34" s="36" t="inlineStr">
        <is>
          <t>https://www.amazon.de/dp/B0GVNMS4DZ</t>
        </is>
      </c>
      <c r="N34" s="33" t="inlineStr">
        <is>
          <t>08.10.2026</t>
        </is>
      </c>
      <c r="O34" s="33" t="inlineStr">
        <is>
          <t>Silikon klebt kaum → einlegen oder Silikonkleber</t>
        </is>
      </c>
      <c r="P34" s="33" t="inlineStr">
        <is>
          <t>✔ günstigste</t>
        </is>
      </c>
    </row>
    <row r="35" ht="15" customHeight="1" s="27">
      <c r="A35" s="29" t="n">
        <v>14</v>
      </c>
      <c r="B35" s="29" t="inlineStr">
        <is>
          <t>Widerstand</t>
        </is>
      </c>
      <c r="C35" s="29" t="inlineStr">
        <is>
          <t>Reichelt</t>
        </is>
      </c>
      <c r="D35" s="29" t="inlineStr">
        <is>
          <t>Metallschicht 100 kΩ 0207 0,6 W 1 %</t>
        </is>
      </c>
      <c r="E35" s="29" t="inlineStr">
        <is>
          <t>Stück</t>
        </is>
      </c>
      <c r="F35" s="29" t="n">
        <v>1</v>
      </c>
      <c r="G35" s="30" t="n">
        <v>0.09</v>
      </c>
      <c r="H35" s="31">
        <f>G35/F35</f>
        <v/>
      </c>
      <c r="I35" s="29" t="n">
        <v>2</v>
      </c>
      <c r="J35" s="30">
        <f>ROUNDUP(I35/F35,0)*G35</f>
        <v/>
      </c>
      <c r="K35" s="29" t="inlineStr">
        <is>
          <t>5,95 € DHL</t>
        </is>
      </c>
      <c r="L35" s="29" t="inlineStr">
        <is>
          <t>1–2 Tage</t>
        </is>
      </c>
      <c r="M35" s="32" t="inlineStr">
        <is>
          <t>https://www.reichelt.de/de/de/shop/produkt/widerstand_metallschicht_100_kohm_0207_0_6_w_1_-11458</t>
        </is>
      </c>
      <c r="N35" s="29" t="inlineStr">
        <is>
          <t>08.10.2026</t>
        </is>
      </c>
      <c r="O35" s="29" t="inlineStr">
        <is>
          <t>Original-Wert; lohnt nur mit anderer Reichelt-Bestellung</t>
        </is>
      </c>
      <c r="P35" s="29" t="n"/>
    </row>
    <row r="36" ht="15" customHeight="1" s="27">
      <c r="A36" s="37" t="n">
        <v>14</v>
      </c>
      <c r="B36" s="37" t="inlineStr">
        <is>
          <t>Widerstand</t>
        </is>
      </c>
      <c r="C36" s="37" t="inlineStr">
        <is>
          <t>Berrybase</t>
        </is>
      </c>
      <c r="D36" s="37" t="inlineStr">
        <is>
          <t>Metallschicht 100 kΩ 1/4 W</t>
        </is>
      </c>
      <c r="E36" s="37" t="inlineStr">
        <is>
          <t>Stück</t>
        </is>
      </c>
      <c r="F36" s="37" t="n">
        <v>1</v>
      </c>
      <c r="G36" s="39" t="n">
        <v>0.05</v>
      </c>
      <c r="H36" s="40">
        <f>G36/F36</f>
        <v/>
      </c>
      <c r="I36" s="37" t="n">
        <v>2</v>
      </c>
      <c r="J36" s="39">
        <f>ROUNDUP(I36/F36,0)*G36</f>
        <v/>
      </c>
      <c r="K36" s="37" t="inlineStr">
        <is>
          <t>4,95 € DHL, frei ab 150 €</t>
        </is>
      </c>
      <c r="L36" s="37" t="inlineStr">
        <is>
          <t>—</t>
        </is>
      </c>
      <c r="M36" s="38" t="inlineStr">
        <is>
          <t>https://www.berrybase.de/metallschichtwiderstand-100-0-kohm-1-4w-1-0207-axial-durchsteckmontage</t>
        </is>
      </c>
      <c r="N36" s="37" t="inlineStr">
        <is>
          <t>08.10.2026</t>
        </is>
      </c>
      <c r="O36" s="37" t="inlineStr">
        <is>
          <t>nicht lieferbar</t>
        </is>
      </c>
      <c r="P36" s="37" t="n"/>
    </row>
    <row r="37" ht="27.75" customHeight="1" s="27">
      <c r="A37" s="33" t="n">
        <v>14</v>
      </c>
      <c r="B37" s="33" t="inlineStr">
        <is>
          <t>Widerstand</t>
        </is>
      </c>
      <c r="C37" s="33" t="inlineStr">
        <is>
          <t>Berrybase</t>
        </is>
      </c>
      <c r="D37" s="33" t="inlineStr">
        <is>
          <t>Metallschicht 10 kΩ 1/4 W (Ersatz)</t>
        </is>
      </c>
      <c r="E37" s="33" t="inlineStr">
        <is>
          <t>Stück</t>
        </is>
      </c>
      <c r="F37" s="33" t="n">
        <v>1</v>
      </c>
      <c r="G37" s="34" t="n">
        <v>0.05</v>
      </c>
      <c r="H37" s="35">
        <f>G37/F37</f>
        <v/>
      </c>
      <c r="I37" s="33" t="n">
        <v>2</v>
      </c>
      <c r="J37" s="34">
        <f>ROUNDUP(I37/F37,0)*G37</f>
        <v/>
      </c>
      <c r="K37" s="33" t="inlineStr">
        <is>
          <t>4,95 € DHL, frei ab 150 €</t>
        </is>
      </c>
      <c r="L37" s="33" t="inlineStr">
        <is>
          <t>1–3 Tage</t>
        </is>
      </c>
      <c r="M37" s="36" t="inlineStr">
        <is>
          <t>https://www.berrybase.de/metallschichtwiderstand-10-0-kohm-1-4w-1-0207-axial-durchsteckmontage</t>
        </is>
      </c>
      <c r="N37" s="33" t="inlineStr">
        <is>
          <t>08.10.2026</t>
        </is>
      </c>
      <c r="O37" s="33" t="inlineStr">
        <is>
          <t>ERSATZ 2×10k: gleiches Verhältnis 1:2 (Firmware unverändert), aber ~0,2 mA Dauerstrom</t>
        </is>
      </c>
      <c r="P37" s="33" t="inlineStr">
        <is>
          <t>✔ günstigste</t>
        </is>
      </c>
    </row>
    <row r="38" ht="15" customHeight="1" s="27">
      <c r="A38" s="29" t="n">
        <v>15</v>
      </c>
      <c r="B38" s="29" t="inlineStr">
        <is>
          <t>Litze</t>
        </is>
      </c>
      <c r="C38" s="29" t="inlineStr">
        <is>
          <t>Berrybase</t>
        </is>
      </c>
      <c r="D38" s="29" t="inlineStr">
        <is>
          <t>Vierlingslitze 4×0,14 mm², 5 m</t>
        </is>
      </c>
      <c r="E38" s="29" t="inlineStr">
        <is>
          <t>5 m</t>
        </is>
      </c>
      <c r="F38" s="29" t="n">
        <v>1</v>
      </c>
      <c r="G38" s="30" t="n">
        <v>3.5</v>
      </c>
      <c r="H38" s="31">
        <f>G38/F38</f>
        <v/>
      </c>
      <c r="I38" s="29" t="n">
        <v>1</v>
      </c>
      <c r="J38" s="30">
        <f>ROUNDUP(I38/F38,0)*G38</f>
        <v/>
      </c>
      <c r="K38" s="29" t="inlineStr">
        <is>
          <t>4,95 € DHL, frei ab 150 €</t>
        </is>
      </c>
      <c r="L38" s="29" t="inlineStr">
        <is>
          <t>1–3 Tage</t>
        </is>
      </c>
      <c r="M38" s="32" t="inlineStr">
        <is>
          <t>https://www.berrybase.de/vierlingslitze-isoliert-4x0-14mm-5m-farbe-blau-gelb-rot-gruen</t>
        </is>
      </c>
      <c r="N38" s="29" t="inlineStr">
        <is>
          <t>08.10.2026</t>
        </is>
      </c>
      <c r="O38" s="29" t="inlineStr">
        <is>
          <t>reicht für Signale + kurze 5-V-Leitungen</t>
        </is>
      </c>
      <c r="P38" s="29" t="n"/>
    </row>
    <row r="39" ht="15" customHeight="1" s="27">
      <c r="A39" s="29" t="n">
        <v>15</v>
      </c>
      <c r="B39" s="29" t="inlineStr">
        <is>
          <t>Litze</t>
        </is>
      </c>
      <c r="C39" s="29" t="inlineStr">
        <is>
          <t>Berrybase</t>
        </is>
      </c>
      <c r="D39" s="29" t="inlineStr">
        <is>
          <t>Vierlingslitze 4×0,25 mm², 5 m</t>
        </is>
      </c>
      <c r="E39" s="29" t="inlineStr">
        <is>
          <t>5 m</t>
        </is>
      </c>
      <c r="F39" s="29" t="n">
        <v>1</v>
      </c>
      <c r="G39" s="30" t="n">
        <v>4.9</v>
      </c>
      <c r="H39" s="31">
        <f>G39/F39</f>
        <v/>
      </c>
      <c r="I39" s="29" t="n">
        <v>1</v>
      </c>
      <c r="J39" s="30">
        <f>ROUNDUP(I39/F39,0)*G39</f>
        <v/>
      </c>
      <c r="K39" s="29" t="inlineStr">
        <is>
          <t>4,95 € DHL, frei ab 150 €</t>
        </is>
      </c>
      <c r="L39" s="29" t="inlineStr">
        <is>
          <t>1–3 Tage</t>
        </is>
      </c>
      <c r="M39" s="32" t="inlineStr">
        <is>
          <t>https://www.berrybase.de/vierlingslitze-isoliert-4x0-25mm-fuer-rgb-led-stripes-5m</t>
        </is>
      </c>
      <c r="N39" s="29" t="inlineStr">
        <is>
          <t>08.10.2026</t>
        </is>
      </c>
      <c r="O39" s="29" t="inlineStr">
        <is>
          <t>dicker, für LED-Strom</t>
        </is>
      </c>
      <c r="P39" s="29" t="n"/>
    </row>
    <row r="40" ht="27.75" customHeight="1" s="27">
      <c r="A40" s="33" t="n">
        <v>15</v>
      </c>
      <c r="B40" s="33" t="inlineStr">
        <is>
          <t>Litze</t>
        </is>
      </c>
      <c r="C40" s="33" t="inlineStr">
        <is>
          <t>AliExpress</t>
        </is>
      </c>
      <c r="D40" s="33" t="inlineStr">
        <is>
          <t>Silikonlitze 30–20 AWG (Variante)</t>
        </is>
      </c>
      <c r="E40" s="33" t="inlineStr">
        <is>
          <t>Variante</t>
        </is>
      </c>
      <c r="F40" s="33" t="n">
        <v>1</v>
      </c>
      <c r="G40" s="34" t="n">
        <v>1.09</v>
      </c>
      <c r="H40" s="35">
        <f>G40/F40</f>
        <v/>
      </c>
      <c r="I40" s="33" t="n">
        <v>1</v>
      </c>
      <c r="J40" s="34">
        <f>ROUNDUP(I40/F40,0)*G40</f>
        <v/>
      </c>
      <c r="K40" s="33" t="inlineStr">
        <is>
          <t>nicht lesbar</t>
        </is>
      </c>
      <c r="L40" s="33" t="inlineStr">
        <is>
          <t>1–3 Wochen</t>
        </is>
      </c>
      <c r="M40" s="36" t="inlineStr">
        <is>
          <t>https://de.aliexpress.com/item/1005008607415668.html</t>
        </is>
      </c>
      <c r="N40" s="33" t="inlineStr">
        <is>
          <t>08.10.2026</t>
        </is>
      </c>
      <c r="O40" s="33" t="inlineStr">
        <is>
          <t>ab-Preis = günstigste Variante; Länge/AWG im Warenkorb prüfen</t>
        </is>
      </c>
      <c r="P40" s="33" t="inlineStr">
        <is>
          <t>✔ günstigste</t>
        </is>
      </c>
    </row>
    <row r="41" ht="27.75" customHeight="1" s="27">
      <c r="A41" s="33" t="n">
        <v>16</v>
      </c>
      <c r="B41" s="33" t="inlineStr">
        <is>
          <t>JST 1,25 4-pol.</t>
        </is>
      </c>
      <c r="C41" s="33" t="inlineStr">
        <is>
          <t>AliExpress</t>
        </is>
      </c>
      <c r="D41" s="33" t="inlineStr">
        <is>
          <t>Micro JST 1,25 mm Stecker+Buchse mit Kabel 2–6P (20 Stk)</t>
        </is>
      </c>
      <c r="E41" s="33" t="inlineStr">
        <is>
          <t>Set (Variante)</t>
        </is>
      </c>
      <c r="F41" s="33" t="n">
        <v>1</v>
      </c>
      <c r="G41" s="34" t="n">
        <v>1.49</v>
      </c>
      <c r="H41" s="35">
        <f>G41/F41</f>
        <v/>
      </c>
      <c r="I41" s="33" t="n">
        <v>1</v>
      </c>
      <c r="J41" s="34">
        <f>ROUNDUP(I41/F41,0)*G41</f>
        <v/>
      </c>
      <c r="K41" s="33" t="inlineStr">
        <is>
          <t>nicht lesbar</t>
        </is>
      </c>
      <c r="L41" s="33" t="inlineStr">
        <is>
          <t>1–3 Wochen</t>
        </is>
      </c>
      <c r="M41" s="36" t="inlineStr">
        <is>
          <t>https://de.aliexpress.com/item/4001171710583.html</t>
        </is>
      </c>
      <c r="N41" s="33" t="inlineStr">
        <is>
          <t>08.10.2026</t>
        </is>
      </c>
      <c r="O41" s="33" t="inlineStr">
        <is>
          <t>ab-Preis; 4P-Variante wählen; DE-Shops: kein passendes 4-pol. 1,25-mm-Kabel lieferbar gefunden</t>
        </is>
      </c>
      <c r="P41" s="33" t="inlineStr">
        <is>
          <t>✔ günstigste</t>
        </is>
      </c>
    </row>
    <row r="42" ht="27.75" customHeight="1" s="27">
      <c r="A42" s="33" t="n">
        <v>17</v>
      </c>
      <c r="B42" s="33" t="inlineStr">
        <is>
          <t>microSD-Sniffer</t>
        </is>
      </c>
      <c r="C42" s="33" t="inlineStr">
        <is>
          <t>AliExpress</t>
        </is>
      </c>
      <c r="D42" s="33" t="inlineStr">
        <is>
          <t>NICHT BESTELLEN – passt nicht ins Gehäuse</t>
        </is>
      </c>
      <c r="E42" s="33" t="inlineStr">
        <is>
          <t>1 Stk</t>
        </is>
      </c>
      <c r="F42" s="33" t="n">
        <v>1</v>
      </c>
      <c r="G42" s="34" t="n">
        <v>0</v>
      </c>
      <c r="H42" s="35">
        <f>G42/F42</f>
        <v/>
      </c>
      <c r="I42" s="33" t="n">
        <v>1</v>
      </c>
      <c r="J42" s="34" t="inlineStr">
        <is>
          <t>nicht bestellen, passt nicht. SD-Slot zeigt zur Frontwand (nur ca. 3,5 mm Luft); Sniffer würde ca. 35–40 mm herausstehen. GPIO18/19/23 direkt an den SD-Slot löten.</t>
        </is>
      </c>
      <c r="K42" s="33" t="inlineStr">
        <is>
          <t>nicht lesbar</t>
        </is>
      </c>
      <c r="L42" s="33" t="inlineStr">
        <is>
          <t>1–3 Wochen</t>
        </is>
      </c>
      <c r="M42" s="36" t="inlineStr">
        <is>
          <t>https://de.aliexpress.com/item/1005009886368149.html</t>
        </is>
      </c>
      <c r="N42" s="33" t="inlineStr">
        <is>
          <t>08.10.2026</t>
        </is>
      </c>
      <c r="O42" s="33" t="inlineStr">
        <is>
          <t>ab-Preis lt. Suchliste; DE: Preis nicht ermittelt (Berrybase: kein Treffer)</t>
        </is>
      </c>
      <c r="P42" s="33" t="inlineStr">
        <is>
          <t>✔ günstigste</t>
        </is>
      </c>
    </row>
    <row r="43" ht="27.75" customHeight="1" s="27">
      <c r="A43" s="33" t="n">
        <v>18</v>
      </c>
      <c r="B43" s="33" t="inlineStr">
        <is>
          <t>Schrumpfschlauch</t>
        </is>
      </c>
      <c r="C43" s="33" t="inlineStr">
        <is>
          <t>Berrybase</t>
        </is>
      </c>
      <c r="D43" s="33" t="inlineStr">
        <is>
          <t>Schrumpfschlauch-Set 100-tlg. schwarz</t>
        </is>
      </c>
      <c r="E43" s="33" t="inlineStr">
        <is>
          <t>Set</t>
        </is>
      </c>
      <c r="F43" s="33" t="n">
        <v>1</v>
      </c>
      <c r="G43" s="34" t="n">
        <v>2.8</v>
      </c>
      <c r="H43" s="35">
        <f>G43/F43</f>
        <v/>
      </c>
      <c r="I43" s="33" t="n">
        <v>1</v>
      </c>
      <c r="J43" s="34">
        <f>ROUNDUP(I43/F43,0)*G43</f>
        <v/>
      </c>
      <c r="K43" s="33" t="inlineStr">
        <is>
          <t>4,95 € DHL, frei ab 150 €</t>
        </is>
      </c>
      <c r="L43" s="33" t="inlineStr">
        <is>
          <t>1–3 Tage</t>
        </is>
      </c>
      <c r="M43" s="36" t="inlineStr">
        <is>
          <t>https://www.berrybase.de/schrumpfschlauch-set-100-teilig-in-sortimentsbox-schwarz</t>
        </is>
      </c>
      <c r="N43" s="33" t="inlineStr">
        <is>
          <t>08.10.2026</t>
        </is>
      </c>
      <c r="O43" s="33" t="n"/>
      <c r="P43" s="33" t="inlineStr">
        <is>
          <t>✔ günstigste</t>
        </is>
      </c>
    </row>
    <row r="44" ht="27.75" customHeight="1" s="27">
      <c r="A44" s="33" t="n">
        <v>19</v>
      </c>
      <c r="B44" s="33" t="inlineStr">
        <is>
          <t>Klebeband</t>
        </is>
      </c>
      <c r="C44" s="33" t="inlineStr">
        <is>
          <t>Berrybase</t>
        </is>
      </c>
      <c r="D44" s="33" t="inlineStr">
        <is>
          <t>TESA doppelseitig 10 m × 12 mm</t>
        </is>
      </c>
      <c r="E44" s="33" t="inlineStr">
        <is>
          <t>Rolle</t>
        </is>
      </c>
      <c r="F44" s="33" t="n">
        <v>1</v>
      </c>
      <c r="G44" s="34" t="n">
        <v>2.9</v>
      </c>
      <c r="H44" s="35">
        <f>G44/F44</f>
        <v/>
      </c>
      <c r="I44" s="33" t="n">
        <v>1</v>
      </c>
      <c r="J44" s="34">
        <f>ROUNDUP(I44/F44,0)*G44</f>
        <v/>
      </c>
      <c r="K44" s="33" t="inlineStr">
        <is>
          <t>4,95 € DHL, frei ab 150 €</t>
        </is>
      </c>
      <c r="L44" s="33" t="inlineStr">
        <is>
          <t>1–3 Tage</t>
        </is>
      </c>
      <c r="M44" s="36" t="inlineStr">
        <is>
          <t>https://www.berrybase.de/tesa-doppelseitiges-klebeband-10m-x-12mm-transparent-pp-traeger-loesungsmittelfrei</t>
        </is>
      </c>
      <c r="N44" s="33" t="inlineStr">
        <is>
          <t>08.10.2026</t>
        </is>
      </c>
      <c r="O44" s="33" t="inlineStr">
        <is>
          <t>nur 1 Stk auf Lager</t>
        </is>
      </c>
      <c r="P44" s="33" t="inlineStr">
        <is>
          <t>✔ günstigste</t>
        </is>
      </c>
    </row>
    <row r="45" ht="27.75" customHeight="1" s="27">
      <c r="A45" s="33" t="n">
        <v>20</v>
      </c>
      <c r="B45" s="33" t="inlineStr">
        <is>
          <t>Kabelbinder</t>
        </is>
      </c>
      <c r="C45" s="33" t="inlineStr">
        <is>
          <t>Berrybase</t>
        </is>
      </c>
      <c r="D45" s="33" t="inlineStr">
        <is>
          <t>Kabelbinder UV-beständig 100×2,5 (100 Stk)</t>
        </is>
      </c>
      <c r="E45" s="33" t="inlineStr">
        <is>
          <t>100 Stk</t>
        </is>
      </c>
      <c r="F45" s="33" t="n">
        <v>1</v>
      </c>
      <c r="G45" s="34" t="n">
        <v>0.6</v>
      </c>
      <c r="H45" s="35">
        <f>G45/F45</f>
        <v/>
      </c>
      <c r="I45" s="33" t="n">
        <v>1</v>
      </c>
      <c r="J45" s="34">
        <f>ROUNDUP(I45/F45,0)*G45</f>
        <v/>
      </c>
      <c r="K45" s="33" t="inlineStr">
        <is>
          <t>4,95 € DHL, frei ab 150 €</t>
        </is>
      </c>
      <c r="L45" s="33" t="inlineStr">
        <is>
          <t>1–3 Tage</t>
        </is>
      </c>
      <c r="M45" s="36" t="inlineStr">
        <is>
          <t>https://www.berrybase.de/kabelbinder-uv-bestaendig-nylon-100-stueck/farbe-transparent/masse-100x2-5mm</t>
        </is>
      </c>
      <c r="N45" s="33" t="inlineStr">
        <is>
          <t>08.10.2026</t>
        </is>
      </c>
      <c r="O45" s="33" t="n"/>
      <c r="P45" s="33" t="inlineStr">
        <is>
          <t>✔ günstigste</t>
        </is>
      </c>
    </row>
    <row r="46" ht="27.75" customHeight="1" s="27">
      <c r="A46" s="33" t="n">
        <v>21</v>
      </c>
      <c r="B46" s="33" t="inlineStr">
        <is>
          <t>JST-PH-Verl. (opt.)</t>
        </is>
      </c>
      <c r="C46" s="33" t="inlineStr">
        <is>
          <t>Berrybase</t>
        </is>
      </c>
      <c r="D46" s="33" t="inlineStr">
        <is>
          <t>Verlängerung 2-pol. JST-PH 2.0 Stecker/Buchse 50 cm</t>
        </is>
      </c>
      <c r="E46" s="33" t="inlineStr">
        <is>
          <t>1 Stk</t>
        </is>
      </c>
      <c r="F46" s="33" t="n">
        <v>1</v>
      </c>
      <c r="G46" s="34" t="n">
        <v>0.9</v>
      </c>
      <c r="H46" s="35">
        <f>G46/F46</f>
        <v/>
      </c>
      <c r="I46" s="33" t="n">
        <v>1</v>
      </c>
      <c r="J46" s="34">
        <f>ROUNDUP(I46/F46,0)*G46</f>
        <v/>
      </c>
      <c r="K46" s="33" t="inlineStr">
        <is>
          <t>4,95 € DHL, frei ab 150 €</t>
        </is>
      </c>
      <c r="L46" s="33" t="inlineStr">
        <is>
          <t>1–3 Tage</t>
        </is>
      </c>
      <c r="M46" s="36" t="inlineStr">
        <is>
          <t>https://www.berrybase.de/verlaengerungskabel-2-pin-jst-ph-2.0mm-stecker-buchse-awg24-50cm</t>
        </is>
      </c>
      <c r="N46" s="33" t="inlineStr">
        <is>
          <t>08.10.2026</t>
        </is>
      </c>
      <c r="O46" s="33" t="inlineStr">
        <is>
          <t>optional</t>
        </is>
      </c>
      <c r="P46" s="33" t="inlineStr">
        <is>
          <t>✔ günstigste</t>
        </is>
      </c>
    </row>
    <row r="47" ht="27.75" customHeight="1" s="27">
      <c r="A47" s="33" t="n">
        <v>22</v>
      </c>
      <c r="B47" s="33" t="inlineStr">
        <is>
          <t>PLA (opt.)</t>
        </is>
      </c>
      <c r="C47" s="33" t="inlineStr">
        <is>
          <t>Amazon</t>
        </is>
      </c>
      <c r="D47" s="33" t="inlineStr">
        <is>
          <t>SUNLU PLA 1,75 mm 1 kg weiß</t>
        </is>
      </c>
      <c r="E47" s="33" t="inlineStr">
        <is>
          <t>1 kg</t>
        </is>
      </c>
      <c r="F47" s="33" t="n">
        <v>1000</v>
      </c>
      <c r="G47" s="34" t="n">
        <v>14.99</v>
      </c>
      <c r="H47" s="35">
        <f>G47/F47</f>
        <v/>
      </c>
      <c r="I47" s="33" t="n">
        <v>128</v>
      </c>
      <c r="J47" s="34">
        <f>ROUNDUP(I47/F47,0)*G47</f>
        <v/>
      </c>
      <c r="K47" s="33" t="inlineStr">
        <is>
          <t>frei ab 49 € (Versand durch Amazon), sonst 3,99 €</t>
        </is>
      </c>
      <c r="L47" s="33" t="inlineStr">
        <is>
          <t>1–3 Tage</t>
        </is>
      </c>
      <c r="M47" s="36" t="inlineStr">
        <is>
          <t>https://www.amazon.de/dp/B0BTHSVQ89</t>
        </is>
      </c>
      <c r="N47" s="33" t="inlineStr">
        <is>
          <t>08.10.2026</t>
        </is>
      </c>
      <c r="O47" s="33" t="inlineStr">
        <is>
          <t>optional; ca. 128 g (inkl. Diffusor ca. 4 g weiß); früher 11,29 € – jetzt 14,99 € (anderer Händler auf Seite 13,99 €)</t>
        </is>
      </c>
      <c r="P47" s="33" t="inlineStr">
        <is>
          <t>✔ günstigste</t>
        </is>
      </c>
    </row>
    <row r="48" ht="27.75" customHeight="1" s="27">
      <c r="A48" s="33" t="n">
        <v>23</v>
      </c>
      <c r="B48" s="33" t="inlineStr">
        <is>
          <t>Jumper (opt.)</t>
        </is>
      </c>
      <c r="C48" s="33" t="inlineStr">
        <is>
          <t>Amazon</t>
        </is>
      </c>
      <c r="D48" s="33" t="inlineStr">
        <is>
          <t>ELEGOO 120 Jumper-Kabel 20 cm</t>
        </is>
      </c>
      <c r="E48" s="33" t="inlineStr">
        <is>
          <t>120 Stk</t>
        </is>
      </c>
      <c r="F48" s="33" t="n">
        <v>1</v>
      </c>
      <c r="G48" s="34" t="n">
        <v>6.99</v>
      </c>
      <c r="H48" s="35">
        <f>G48/F48</f>
        <v/>
      </c>
      <c r="I48" s="33" t="n">
        <v>1</v>
      </c>
      <c r="J48" s="34">
        <f>ROUNDUP(I48/F48,0)*G48</f>
        <v/>
      </c>
      <c r="K48" s="33" t="inlineStr">
        <is>
          <t>frei ab 49 € (Versand durch Amazon), sonst 3,99 €</t>
        </is>
      </c>
      <c r="L48" s="33" t="inlineStr">
        <is>
          <t>1–3 Tage</t>
        </is>
      </c>
      <c r="M48" s="36" t="inlineStr">
        <is>
          <t>https://www.amazon.de/dp/B01EV70C78</t>
        </is>
      </c>
      <c r="N48" s="33" t="inlineStr">
        <is>
          <t>08.10.2026</t>
        </is>
      </c>
      <c r="O48" s="33" t="inlineStr">
        <is>
          <t>optional, nur Prototyp</t>
        </is>
      </c>
      <c r="P48" s="33" t="inlineStr">
        <is>
          <t>✔ günstigste</t>
        </is>
      </c>
    </row>
    <row r="49" ht="27.75" customHeight="1" s="27">
      <c r="A49" s="33" t="n">
        <v>5</v>
      </c>
      <c r="B49" s="33" t="inlineStr">
        <is>
          <t>P-MOSFET</t>
        </is>
      </c>
      <c r="C49" s="33" t="inlineStr">
        <is>
          <t>Reichelt</t>
        </is>
      </c>
      <c r="D49" s="33" t="inlineStr">
        <is>
          <t>Alpha &amp; Omega AO3401A, P-Kanal −30 V −4 A, SOT-23</t>
        </is>
      </c>
      <c r="E49" s="33" t="inlineStr">
        <is>
          <t>Stück</t>
        </is>
      </c>
      <c r="F49" s="33" t="n">
        <v>1</v>
      </c>
      <c r="G49" s="34" t="n">
        <v>0.17</v>
      </c>
      <c r="H49" s="35">
        <f>G49/F49</f>
        <v/>
      </c>
      <c r="I49" s="33" t="n">
        <v>2</v>
      </c>
      <c r="J49" s="34">
        <f>ROUNDUP(I49/F49,0)*G49</f>
        <v/>
      </c>
      <c r="K49" s="33" t="inlineStr">
        <is>
          <t>Versandkosten ab 5,95 €</t>
        </is>
      </c>
      <c r="L49" s="33" t="inlineStr">
        <is>
          <t>1–2 Tage</t>
        </is>
      </c>
      <c r="M49" s="36" t="inlineStr">
        <is>
          <t>https://www.reichelt.de/de/de/shop/produkt/mosfet_p-ch_-30v_-4a_0_041r_sot-23-166486</t>
        </is>
      </c>
      <c r="N49" s="33" t="inlineStr">
        <is>
          <t>09.10.2026</t>
        </is>
      </c>
      <c r="O49" s="33" t="inlineStr">
        <is>
          <t>ab Lager; Berrybase führt keinen P-MOSFET (Suche 09.10.2026) → eigener Reichelt-Versand</t>
        </is>
      </c>
      <c r="P49" s="33" t="inlineStr">
        <is>
          <t>✔ günstigste</t>
        </is>
      </c>
    </row>
    <row r="50" ht="27.75" customHeight="1" s="27">
      <c r="A50" s="33" t="n">
        <v>24</v>
      </c>
      <c r="B50" s="33" t="inlineStr">
        <is>
          <t>Treiber-Transistor</t>
        </is>
      </c>
      <c r="C50" s="33" t="inlineStr">
        <is>
          <t>Berrybase</t>
        </is>
      </c>
      <c r="D50" s="33" t="inlineStr">
        <is>
          <t>BC547B, NPN, 45 V, 100 mA, TO-92</t>
        </is>
      </c>
      <c r="E50" s="33" t="inlineStr">
        <is>
          <t>Stück</t>
        </is>
      </c>
      <c r="F50" s="33" t="n">
        <v>1</v>
      </c>
      <c r="G50" s="34" t="n">
        <v>0.17</v>
      </c>
      <c r="H50" s="35">
        <f>G50/F50</f>
        <v/>
      </c>
      <c r="I50" s="33" t="n">
        <v>1</v>
      </c>
      <c r="J50" s="34">
        <f>ROUNDUP(I50/F50,0)*G50</f>
        <v/>
      </c>
      <c r="K50" s="33" t="inlineStr">
        <is>
          <t>4,95 € DHL, frei ab 150 €</t>
        </is>
      </c>
      <c r="L50" s="33" t="inlineStr">
        <is>
          <t>1–3 Tage</t>
        </is>
      </c>
      <c r="M50" s="36" t="inlineStr">
        <is>
          <t>https://www.berrybase.de/bc547b-bipolarer-transistor-npn-45v-100ma-to-92-3-pin</t>
        </is>
      </c>
      <c r="N50" s="33" t="inlineStr">
        <is>
          <t>09.10.2026</t>
        </is>
      </c>
      <c r="O50" s="33" t="inlineStr">
        <is>
          <t>schaltet das Gate von Q1 (GPIO18 → 4,7 kΩ → Basis)</t>
        </is>
      </c>
      <c r="P50" s="33" t="inlineStr">
        <is>
          <t>✔ günstigste</t>
        </is>
      </c>
    </row>
    <row r="51" ht="27.75" customHeight="1" s="27">
      <c r="A51" s="33" t="n">
        <v>25</v>
      </c>
      <c r="B51" s="33" t="inlineStr">
        <is>
          <t>Widerstand 470 Ω</t>
        </is>
      </c>
      <c r="C51" s="33" t="inlineStr">
        <is>
          <t>Berrybase</t>
        </is>
      </c>
      <c r="D51" s="33" t="inlineStr">
        <is>
          <t>Metallschicht 470 Ω 1/4 W 1 %</t>
        </is>
      </c>
      <c r="E51" s="33" t="inlineStr">
        <is>
          <t>Stück</t>
        </is>
      </c>
      <c r="F51" s="33" t="n">
        <v>1</v>
      </c>
      <c r="G51" s="34" t="n">
        <v>0.05</v>
      </c>
      <c r="H51" s="35">
        <f>G51/F51</f>
        <v/>
      </c>
      <c r="I51" s="33" t="n">
        <v>1</v>
      </c>
      <c r="J51" s="34">
        <f>ROUNDUP(I51/F51,0)*G51</f>
        <v/>
      </c>
      <c r="K51" s="33" t="inlineStr">
        <is>
          <t>4,95 € DHL, frei ab 150 €</t>
        </is>
      </c>
      <c r="L51" s="33" t="inlineStr">
        <is>
          <t>1–3 Tage</t>
        </is>
      </c>
      <c r="M51" s="36" t="inlineStr">
        <is>
          <t>https://www.berrybase.de/metallschichtwiderstand-470-0-ohm-1-4w-1-0207-axial-durchsteckmontage</t>
        </is>
      </c>
      <c r="N51" s="33" t="inlineStr">
        <is>
          <t>09.10.2026</t>
        </is>
      </c>
      <c r="O51" s="33" t="inlineStr">
        <is>
          <t>in DIN direkt am LED-Streifen</t>
        </is>
      </c>
      <c r="P51" s="33" t="inlineStr">
        <is>
          <t>✔ günstigste</t>
        </is>
      </c>
    </row>
    <row r="52" ht="27.75" customHeight="1" s="27">
      <c r="A52" s="33" t="n">
        <v>26</v>
      </c>
      <c r="B52" s="33" t="inlineStr">
        <is>
          <t>Widerstand 4,7 kΩ</t>
        </is>
      </c>
      <c r="C52" s="33" t="inlineStr">
        <is>
          <t>Berrybase</t>
        </is>
      </c>
      <c r="D52" s="33" t="inlineStr">
        <is>
          <t>Metallschicht 4,7 kΩ 1/4 W 1 %</t>
        </is>
      </c>
      <c r="E52" s="33" t="inlineStr">
        <is>
          <t>Stück</t>
        </is>
      </c>
      <c r="F52" s="33" t="n">
        <v>1</v>
      </c>
      <c r="G52" s="34" t="n">
        <v>0.06</v>
      </c>
      <c r="H52" s="35">
        <f>G52/F52</f>
        <v/>
      </c>
      <c r="I52" s="33" t="n">
        <v>1</v>
      </c>
      <c r="J52" s="34">
        <f>ROUNDUP(I52/F52,0)*G52</f>
        <v/>
      </c>
      <c r="K52" s="33" t="inlineStr">
        <is>
          <t>4,95 € DHL, frei ab 150 €</t>
        </is>
      </c>
      <c r="L52" s="33" t="inlineStr">
        <is>
          <t>1–3 Tage</t>
        </is>
      </c>
      <c r="M52" s="36" t="inlineStr">
        <is>
          <t>https://www.berrybase.de/metallschichtwiderstand-4-7-kohm-1-4w-1-0207-axial-durchsteckmontage</t>
        </is>
      </c>
      <c r="N52" s="33" t="inlineStr">
        <is>
          <t>09.10.2026</t>
        </is>
      </c>
      <c r="O52" s="33" t="inlineStr">
        <is>
          <t>GPIO18 → Basis BC547B</t>
        </is>
      </c>
      <c r="P52" s="33" t="inlineStr">
        <is>
          <t>✔ günstigste</t>
        </is>
      </c>
    </row>
    <row r="53" ht="27.75" customHeight="1" s="27">
      <c r="A53" s="33" t="n">
        <v>27</v>
      </c>
      <c r="B53" s="33" t="inlineStr">
        <is>
          <t>Widerstand 47 kΩ</t>
        </is>
      </c>
      <c r="C53" s="33" t="inlineStr">
        <is>
          <t>Berrybase</t>
        </is>
      </c>
      <c r="D53" s="33" t="inlineStr">
        <is>
          <t>Metallschicht 47 kΩ 1/4 W 1 %</t>
        </is>
      </c>
      <c r="E53" s="33" t="inlineStr">
        <is>
          <t>Stück</t>
        </is>
      </c>
      <c r="F53" s="33" t="n">
        <v>1</v>
      </c>
      <c r="G53" s="34" t="n">
        <v>0.05</v>
      </c>
      <c r="H53" s="35">
        <f>G53/F53</f>
        <v/>
      </c>
      <c r="I53" s="33" t="n">
        <v>2</v>
      </c>
      <c r="J53" s="34">
        <f>ROUNDUP(I53/F53,0)*G53</f>
        <v/>
      </c>
      <c r="K53" s="33" t="inlineStr">
        <is>
          <t>4,95 € DHL, frei ab 150 €</t>
        </is>
      </c>
      <c r="L53" s="33" t="inlineStr">
        <is>
          <t>1–3 Tage</t>
        </is>
      </c>
      <c r="M53" s="36" t="inlineStr">
        <is>
          <t>https://www.berrybase.de/metallschichtwiderstand-47-0-kohm-1-4w-1-0207-axial-durchsteckmontage</t>
        </is>
      </c>
      <c r="N53" s="33" t="inlineStr">
        <is>
          <t>09.10.2026</t>
        </is>
      </c>
      <c r="O53" s="33" t="inlineStr">
        <is>
          <t>Basis→GND und Gate→Source Q2</t>
        </is>
      </c>
      <c r="P53" s="33" t="inlineStr">
        <is>
          <t>✔ günstigste</t>
        </is>
      </c>
    </row>
    <row r="54" ht="27.75" customHeight="1" s="27">
      <c r="A54" s="33" t="n">
        <v>28</v>
      </c>
      <c r="B54" s="33" t="inlineStr">
        <is>
          <t>Widerstand 10 kΩ (Gate Q1)</t>
        </is>
      </c>
      <c r="C54" s="33" t="inlineStr">
        <is>
          <t>Berrybase</t>
        </is>
      </c>
      <c r="D54" s="33" t="inlineStr">
        <is>
          <t>Metallschicht 10 kΩ 1/4 W 1 %</t>
        </is>
      </c>
      <c r="E54" s="33" t="inlineStr">
        <is>
          <t>Stück</t>
        </is>
      </c>
      <c r="F54" s="33" t="n">
        <v>1</v>
      </c>
      <c r="G54" s="34" t="n">
        <v>0.05</v>
      </c>
      <c r="H54" s="35">
        <f>G54/F54</f>
        <v/>
      </c>
      <c r="I54" s="33" t="n">
        <v>1</v>
      </c>
      <c r="J54" s="34">
        <f>ROUNDUP(I54/F54,0)*G54</f>
        <v/>
      </c>
      <c r="K54" s="33" t="inlineStr">
        <is>
          <t>4,95 € DHL, frei ab 150 €</t>
        </is>
      </c>
      <c r="L54" s="33" t="inlineStr">
        <is>
          <t>1–3 Tage</t>
        </is>
      </c>
      <c r="M54" s="36" t="inlineStr">
        <is>
          <t>https://www.berrybase.de/metallschichtwiderstand-10-0-kohm-1-4w-1-0207-axial-durchsteckmontage</t>
        </is>
      </c>
      <c r="N54" s="33" t="inlineStr">
        <is>
          <t>09.10.2026</t>
        </is>
      </c>
      <c r="O54" s="33" t="inlineStr">
        <is>
          <t>Gate→Source Q1; zusätzlich zu den 2 Stk. für den Akku-Teiler</t>
        </is>
      </c>
      <c r="P54" s="33" t="inlineStr">
        <is>
          <t>✔ günstigste</t>
        </is>
      </c>
    </row>
    <row r="55" ht="27.75" customHeight="1" s="27">
      <c r="A55" s="33" t="n">
        <v>29</v>
      </c>
      <c r="B55" s="33" t="inlineStr">
        <is>
          <t>SOT-23-Adapter</t>
        </is>
      </c>
      <c r="C55" s="33" t="inlineStr">
        <is>
          <t>Berrybase</t>
        </is>
      </c>
      <c r="D55" s="33" t="inlineStr">
        <is>
          <t>SMD Breakout Adapter SOT23 / SSOP10 / MSOP10, 12,7 × 10,2 mm</t>
        </is>
      </c>
      <c r="E55" s="33" t="inlineStr">
        <is>
          <t>Stück</t>
        </is>
      </c>
      <c r="F55" s="33" t="n">
        <v>1</v>
      </c>
      <c r="G55" s="34" t="n">
        <v>0.32</v>
      </c>
      <c r="H55" s="35">
        <f>G55/F55</f>
        <v/>
      </c>
      <c r="I55" s="33" t="n">
        <v>2</v>
      </c>
      <c r="J55" s="34">
        <f>ROUNDUP(I55/F55,0)*G55</f>
        <v/>
      </c>
      <c r="K55" s="33" t="inlineStr">
        <is>
          <t>4,95 € DHL, frei ab 150 €</t>
        </is>
      </c>
      <c r="L55" s="33" t="inlineStr">
        <is>
          <t>1–3 Tage</t>
        </is>
      </c>
      <c r="M55" s="36" t="inlineStr">
        <is>
          <t>https://www.berrybase.de/smd-breakout-adapter-fuer-sot23-ssop10-msop10-10-pin-0-50mm-0-95mm</t>
        </is>
      </c>
      <c r="N55" s="33" t="inlineStr">
        <is>
          <t>09.10.2026</t>
        </is>
      </c>
      <c r="O55" s="33" t="inlineStr">
        <is>
          <t>je ein AO3401A darauf löten; ohne Stiftleiste geliefert</t>
        </is>
      </c>
      <c r="P55" s="33" t="inlineStr">
        <is>
          <t>✔ günstigste</t>
        </is>
      </c>
    </row>
    <row r="56" ht="27.75" customHeight="1" s="27">
      <c r="A56" s="33" t="n">
        <v>30</v>
      </c>
      <c r="B56" s="33" t="inlineStr">
        <is>
          <t>Stiftleiste</t>
        </is>
      </c>
      <c r="C56" s="33" t="inlineStr">
        <is>
          <t>Berrybase</t>
        </is>
      </c>
      <c r="D56" s="33" t="inlineStr">
        <is>
          <t>Stiftleiste 1× 20-polig, RM 2,54, gerade</t>
        </is>
      </c>
      <c r="E56" s="33" t="inlineStr">
        <is>
          <t>Stück</t>
        </is>
      </c>
      <c r="F56" s="33" t="n">
        <v>1</v>
      </c>
      <c r="G56" s="34" t="n">
        <v>0.2</v>
      </c>
      <c r="H56" s="35">
        <f>G56/F56</f>
        <v/>
      </c>
      <c r="I56" s="33" t="n">
        <v>1</v>
      </c>
      <c r="J56" s="34">
        <f>ROUNDUP(I56/F56,0)*G56</f>
        <v/>
      </c>
      <c r="K56" s="33" t="inlineStr">
        <is>
          <t>4,95 € DHL, frei ab 150 €</t>
        </is>
      </c>
      <c r="L56" s="33" t="inlineStr">
        <is>
          <t>1–3 Tage</t>
        </is>
      </c>
      <c r="M56" s="36" t="inlineStr">
        <is>
          <t>https://www.berrybase.de/stiftleiste-1x-20-polig-rm-2-54-gerade</t>
        </is>
      </c>
      <c r="N56" s="33" t="inlineStr">
        <is>
          <t>09.10.2026</t>
        </is>
      </c>
      <c r="O56" s="33" t="inlineStr">
        <is>
          <t>für die 2 SOT-23-Adapter</t>
        </is>
      </c>
      <c r="P56" s="33" t="inlineStr">
        <is>
          <t>✔ günstigste</t>
        </is>
      </c>
    </row>
    <row r="57" ht="27.75" customHeight="1" s="27">
      <c r="A57" s="33" t="n">
        <v>31</v>
      </c>
      <c r="B57" s="33" t="inlineStr">
        <is>
          <t>Elko 470 µF</t>
        </is>
      </c>
      <c r="C57" s="33" t="inlineStr">
        <is>
          <t>Berrybase</t>
        </is>
      </c>
      <c r="D57" s="33" t="inlineStr">
        <is>
          <t>Elektrolytkondensator 470 µF, 25 V, 105 °C, Ø 10 × 16 mm</t>
        </is>
      </c>
      <c r="E57" s="33" t="inlineStr">
        <is>
          <t>Stück</t>
        </is>
      </c>
      <c r="F57" s="33" t="n">
        <v>1</v>
      </c>
      <c r="G57" s="34" t="n">
        <v>0.1</v>
      </c>
      <c r="H57" s="35">
        <f>G57/F57</f>
        <v/>
      </c>
      <c r="I57" s="33" t="n">
        <v>1</v>
      </c>
      <c r="J57" s="34">
        <f>ROUNDUP(I57/F57,0)*G57</f>
        <v/>
      </c>
      <c r="K57" s="33" t="inlineStr">
        <is>
          <t>4,95 € DHL, frei ab 150 €</t>
        </is>
      </c>
      <c r="L57" s="33" t="inlineStr">
        <is>
          <t>1–3 Tage</t>
        </is>
      </c>
      <c r="M57" s="36" t="inlineStr">
        <is>
          <t>https://www.berrybase.de/elektrolytkondensator-470-f-25v-1050c-1-radial-tht</t>
        </is>
      </c>
      <c r="N57" s="33" t="inlineStr">
        <is>
          <t>09.10.2026</t>
        </is>
      </c>
      <c r="O57" s="33" t="inlineStr">
        <is>
          <t>5 V → GND vor Q1, liegt auf der FET-Platine</t>
        </is>
      </c>
      <c r="P57" s="33" t="inlineStr">
        <is>
          <t>✔ günstigste</t>
        </is>
      </c>
    </row>
    <row r="58" ht="27.75" customHeight="1" s="27">
      <c r="A58" s="33" t="n">
        <v>32</v>
      </c>
      <c r="B58" s="33" t="inlineStr">
        <is>
          <t>Lochrasterplatine</t>
        </is>
      </c>
      <c r="C58" s="33" t="inlineStr">
        <is>
          <t>Berrybase</t>
        </is>
      </c>
      <c r="D58" s="33" t="inlineStr">
        <is>
          <t>Lochrasterplatine „9 × 15 cm“ einseitig Kupfer (laut Daten 70,5 × 50,4 mm)</t>
        </is>
      </c>
      <c r="E58" s="33" t="inlineStr">
        <is>
          <t>Stück</t>
        </is>
      </c>
      <c r="F58" s="33" t="n">
        <v>1</v>
      </c>
      <c r="G58" s="34" t="n">
        <v>1.1</v>
      </c>
      <c r="H58" s="35">
        <f>G58/F58</f>
        <v/>
      </c>
      <c r="I58" s="33" t="n">
        <v>1</v>
      </c>
      <c r="J58" s="34">
        <f>ROUNDUP(I58/F58,0)*G58</f>
        <v/>
      </c>
      <c r="K58" s="33" t="inlineStr">
        <is>
          <t>4,95 € DHL, frei ab 150 €</t>
        </is>
      </c>
      <c r="L58" s="33" t="inlineStr">
        <is>
          <t>1–3 Tage</t>
        </is>
      </c>
      <c r="M58" s="36" t="inlineStr">
        <is>
          <t>https://www.berrybase.de/lochrasterplatine-9x15cm-mit-einseitiger-kupferauflage</t>
        </is>
      </c>
      <c r="N58" s="33" t="inlineStr">
        <is>
          <t>09.10.2026</t>
        </is>
      </c>
      <c r="O58" s="33" t="inlineStr">
        <is>
          <t>auf 30 × 24,5 mm zuschneiden; 5 × 7 cm (0,30 €) nicht lieferbar</t>
        </is>
      </c>
      <c r="P58" s="33" t="inlineStr">
        <is>
          <t>✔ günstigste</t>
        </is>
      </c>
    </row>
    <row r="59" ht="27.75" customHeight="1" s="27">
      <c r="A59" s="33" t="n">
        <v>33</v>
      </c>
      <c r="B59" s="33" t="inlineStr">
        <is>
          <t>Ein/Aus-Schalter</t>
        </is>
      </c>
      <c r="C59" s="33" t="inlineStr">
        <is>
          <t>Berrybase</t>
        </is>
      </c>
      <c r="D59" s="33" t="inlineStr">
        <is>
          <t>Schiebeschalter Printmontage ON-ON, 8,6 × 4,3 × 4 mm, gerade (C&amp;K OS102011MS2QN1)</t>
        </is>
      </c>
      <c r="E59" s="33" t="inlineStr">
        <is>
          <t>Stück</t>
        </is>
      </c>
      <c r="F59" s="33" t="n">
        <v>1</v>
      </c>
      <c r="G59" s="34" t="n">
        <v>0.7</v>
      </c>
      <c r="H59" s="35">
        <f>G59/F59</f>
        <v/>
      </c>
      <c r="I59" s="33" t="n">
        <v>1</v>
      </c>
      <c r="J59" s="34">
        <f>ROUNDUP(I59/F59,0)*G59</f>
        <v/>
      </c>
      <c r="K59" s="33" t="inlineStr">
        <is>
          <t>4,95 € DHL, frei ab 150 €</t>
        </is>
      </c>
      <c r="L59" s="33" t="inlineStr">
        <is>
          <t>1–3 Tage</t>
        </is>
      </c>
      <c r="M59" s="36" t="inlineStr">
        <is>
          <t>https://www.berrybase.de/schiebeschalter-printmontage-on-on-2-stellig-8.6x4.3x4mm-gerade</t>
        </is>
      </c>
      <c r="N59" s="33" t="inlineStr">
        <is>
          <t>09.10.2026</t>
        </is>
      </c>
      <c r="O59" s="33" t="inlineStr">
        <is>
          <t>schaltet nur das Gate von Q2 (ca. 0,08 mA, Schalter 0,1 A)</t>
        </is>
      </c>
      <c r="P59" s="33" t="inlineStr">
        <is>
          <t>✔ günstigste</t>
        </is>
      </c>
    </row>
    <row r="61" ht="15" customHeight="1" s="27">
      <c r="A61" s="26" t="inlineStr">
        <is>
          <t>Legende: grün = günstigstes geeignetes Angebot (Kosten für Bedarf); rot = nicht lieferbar / passt nicht. AliExpress-Preise = 'ab'-Preis der günstigsten Variante laut Suchliste (EUR inkl. 19 % MwSt.); Produktseiten sind nicht maschinell lesbar → Preis der benötigten Variante im Warenkorb prüfen.</t>
        </is>
      </c>
    </row>
    <row r="62" ht="15" customHeight="1" s="27">
      <c r="A62" s="26" t="inlineStr">
        <is>
          <t>Versand: Amazon frei ab 49 € (nur Artikel mit Versand durch Amazon), sonst 3,99 €; Berrybase 4,95 € (frei ab 150 €); Reichelt ab 5,95 € (AO3401A-Seite, 09.10.2026); alleschrauben.de: Versandkosten erst im Warenkorb sichtbar (frei ab 79 €). Mindestbestellwerte: auf den gelesenen Seiten nicht angegeben.</t>
        </is>
      </c>
    </row>
  </sheetData>
  <hyperlinks>
    <hyperlink xmlns:r="http://schemas.openxmlformats.org/officeDocument/2006/relationships" ref="M2" display="https://www.amazon.de/dp/B0G1N16Q16" r:id="rId1"/>
    <hyperlink xmlns:r="http://schemas.openxmlformats.org/officeDocument/2006/relationships" ref="M3" display="https://de.aliexpress.com/item/1005009535167188.html" r:id="rId2"/>
    <hyperlink xmlns:r="http://schemas.openxmlformats.org/officeDocument/2006/relationships" ref="M4" display="https://de.aliexpress.com/item/1005007708576179.html" r:id="rId3"/>
    <hyperlink xmlns:r="http://schemas.openxmlformats.org/officeDocument/2006/relationships" ref="M6" display="https://www.amazon.de/dp/B0B9H3YMT2" r:id="rId4"/>
    <hyperlink xmlns:r="http://schemas.openxmlformats.org/officeDocument/2006/relationships" ref="M7" display="https://de.aliexpress.com/item/1005009230467552.html" r:id="rId5"/>
    <hyperlink xmlns:r="http://schemas.openxmlformats.org/officeDocument/2006/relationships" ref="M8" display="https://www.berrybase.de/dehnungsmessstreifen-waegezelle-5kg" r:id="rId6"/>
    <hyperlink xmlns:r="http://schemas.openxmlformats.org/officeDocument/2006/relationships" ref="M10" display="https://www.amazon.de/dp/B0H41MCVSW" r:id="rId7"/>
    <hyperlink xmlns:r="http://schemas.openxmlformats.org/officeDocument/2006/relationships" ref="M11" display="https://de.aliexpress.com/item/1005006422072860.html" r:id="rId8"/>
    <hyperlink xmlns:r="http://schemas.openxmlformats.org/officeDocument/2006/relationships" ref="M12" display="https://www.amazon.de/dp/B088BRY2SH" r:id="rId9"/>
    <hyperlink xmlns:r="http://schemas.openxmlformats.org/officeDocument/2006/relationships" ref="M13" display="https://de.aliexpress.com/item/1005008750140385.html" r:id="rId10"/>
    <hyperlink xmlns:r="http://schemas.openxmlformats.org/officeDocument/2006/relationships" ref="M14" display="https://www.berrybase.de/regensensor-mit-digitalem-und-analogem-ausgang" r:id="rId11"/>
    <hyperlink xmlns:r="http://schemas.openxmlformats.org/officeDocument/2006/relationships" ref="M15" display="https://www.reichelt.de/de/de/shop/produkt/entwicklerboards_-_regentrofpen-_feuchtigkeits-sensormodul-282565" r:id="rId12"/>
    <hyperlink xmlns:r="http://schemas.openxmlformats.org/officeDocument/2006/relationships" ref="M16" display="https://www.amazon.de/dp/B017M1NJR0" r:id="rId13"/>
    <hyperlink xmlns:r="http://schemas.openxmlformats.org/officeDocument/2006/relationships" ref="M17" display="https://de.aliexpress.com/item/1005007987689565.html" r:id="rId14"/>
    <hyperlink xmlns:r="http://schemas.openxmlformats.org/officeDocument/2006/relationships" ref="M18" display="https://www.amazon.de/dp/B0DG8B58PM" r:id="rId15"/>
    <hyperlink xmlns:r="http://schemas.openxmlformats.org/officeDocument/2006/relationships" ref="M19" display="https://www.amazon.de/dp/B08214DJLJ" r:id="rId16"/>
    <hyperlink xmlns:r="http://schemas.openxmlformats.org/officeDocument/2006/relationships" ref="M21" display="https://www.amazon.de/dp/B0F67KYB4F" r:id="rId17"/>
    <hyperlink xmlns:r="http://schemas.openxmlformats.org/officeDocument/2006/relationships" ref="M22" display="https://de.aliexpress.com/item/1005013255677257.html" r:id="rId18"/>
    <hyperlink xmlns:r="http://schemas.openxmlformats.org/officeDocument/2006/relationships" ref="M23" display="https://www.berrybase.de/ladeplatine-fuer-3-7v-liion-lipo-akkus-mit-ausgang-micro-usb-loetpads-1000ma" r:id="rId19"/>
    <hyperlink xmlns:r="http://schemas.openxmlformats.org/officeDocument/2006/relationships" ref="M24" display="https://www.berrybase.de/pololu-s13v10f5-5v-1a-step-up-step-down-converter" r:id="rId20"/>
    <hyperlink xmlns:r="http://schemas.openxmlformats.org/officeDocument/2006/relationships" ref="M25" display="https://www.berrybase.de/pololu-s13v20f5-5v-2a-step-up-step-down-spannungsregler" r:id="rId21"/>
    <hyperlink xmlns:r="http://schemas.openxmlformats.org/officeDocument/2006/relationships" ref="M26" display="https://de.aliexpress.com/item/1005009806778521.html" r:id="rId22"/>
    <hyperlink xmlns:r="http://schemas.openxmlformats.org/officeDocument/2006/relationships" ref="M27" display="https://www.amazon.de/dp/B07YWKN9NW" r:id="rId23"/>
    <hyperlink xmlns:r="http://schemas.openxmlformats.org/officeDocument/2006/relationships" ref="M28" display="https://alleschrauben.de/Schrauben/Senkkopf/Senkkopfschrauben-DIN-7991/Senkkopfschrauben-M3x12-mit-Innensechskant-DIN-7991-Edelstahl-A2" r:id="rId24"/>
    <hyperlink xmlns:r="http://schemas.openxmlformats.org/officeDocument/2006/relationships" ref="M29" display="https://alleschrauben.de/Schrauben/Senkkopf/Senkkopfschrauben-DIN-7991/Senkkopfschrauben-M4x10-mit-Innensechskant-DIN-7991-Edelstahl-A2" r:id="rId25"/>
    <hyperlink xmlns:r="http://schemas.openxmlformats.org/officeDocument/2006/relationships" ref="M30" display="https://www.reichelt.de/de/de/shop/produkt/flach-senkkopfschrauben_kreuzschlitz_pzd_m4_10_mm_50_stueck-65750" r:id="rId26"/>
    <hyperlink xmlns:r="http://schemas.openxmlformats.org/officeDocument/2006/relationships" ref="M31" display="https://alleschrauben.de/Schrauben/Senkkopf/Senkkopfschrauben-DIN-7991/Senkkopfschrauben-M5x12-mit-Innensechskant-DIN-7991-Edelstahl-A2" r:id="rId27"/>
    <hyperlink xmlns:r="http://schemas.openxmlformats.org/officeDocument/2006/relationships" ref="M32" display="https://www.berrybase.de/fix-fasten-selbstklebender-fuss-rund-oben-9-5mm-unten-10mm-hoehe-4-5mm-gummi-schwarz" r:id="rId28"/>
    <hyperlink xmlns:r="http://schemas.openxmlformats.org/officeDocument/2006/relationships" ref="M33" display="https://www.amazon.de/dp/B09LDCTQGY" r:id="rId29"/>
    <hyperlink xmlns:r="http://schemas.openxmlformats.org/officeDocument/2006/relationships" ref="M34" display="https://www.amazon.de/dp/B0GVNMS4DZ" r:id="rId30"/>
    <hyperlink xmlns:r="http://schemas.openxmlformats.org/officeDocument/2006/relationships" ref="M35" display="https://www.reichelt.de/de/de/shop/produkt/widerstand_metallschicht_100_kohm_0207_0_6_w_1_-11458" r:id="rId31"/>
    <hyperlink xmlns:r="http://schemas.openxmlformats.org/officeDocument/2006/relationships" ref="M36" display="https://www.berrybase.de/metallschichtwiderstand-100-0-kohm-1-4w-1-0207-axial-durchsteckmontage" r:id="rId32"/>
    <hyperlink xmlns:r="http://schemas.openxmlformats.org/officeDocument/2006/relationships" ref="M37" display="https://www.berrybase.de/metallschichtwiderstand-10-0-kohm-1-4w-1-0207-axial-durchsteckmontage" r:id="rId33"/>
    <hyperlink xmlns:r="http://schemas.openxmlformats.org/officeDocument/2006/relationships" ref="M38" display="https://www.berrybase.de/vierlingslitze-isoliert-4x0-14mm-5m-farbe-blau-gelb-rot-gruen" r:id="rId34"/>
    <hyperlink xmlns:r="http://schemas.openxmlformats.org/officeDocument/2006/relationships" ref="M39" display="https://www.berrybase.de/vierlingslitze-isoliert-4x0-25mm-fuer-rgb-led-stripes-5m" r:id="rId35"/>
    <hyperlink xmlns:r="http://schemas.openxmlformats.org/officeDocument/2006/relationships" ref="M40" display="https://de.aliexpress.com/item/1005008607415668.html" r:id="rId36"/>
    <hyperlink xmlns:r="http://schemas.openxmlformats.org/officeDocument/2006/relationships" ref="M41" display="https://de.aliexpress.com/item/4001171710583.html" r:id="rId37"/>
    <hyperlink xmlns:r="http://schemas.openxmlformats.org/officeDocument/2006/relationships" ref="M42" display="https://de.aliexpress.com/item/1005009886368149.html" r:id="rId38"/>
    <hyperlink xmlns:r="http://schemas.openxmlformats.org/officeDocument/2006/relationships" ref="M43" display="https://www.berrybase.de/schrumpfschlauch-set-100-teilig-in-sortimentsbox-schwarz" r:id="rId39"/>
    <hyperlink xmlns:r="http://schemas.openxmlformats.org/officeDocument/2006/relationships" ref="M44" display="https://www.berrybase.de/tesa-doppelseitiges-klebeband-10m-x-12mm-transparent-pp-traeger-loesungsmittelfrei" r:id="rId40"/>
    <hyperlink xmlns:r="http://schemas.openxmlformats.org/officeDocument/2006/relationships" ref="M45" display="https://www.berrybase.de/kabelbinder-uv-bestaendig-nylon-100-stueck/farbe-transparent/masse-100x2-5mm" r:id="rId41"/>
    <hyperlink xmlns:r="http://schemas.openxmlformats.org/officeDocument/2006/relationships" ref="M46" display="https://www.berrybase.de/verlaengerungskabel-2-pin-jst-ph-2.0mm-stecker-buchse-awg24-50cm" r:id="rId42"/>
    <hyperlink xmlns:r="http://schemas.openxmlformats.org/officeDocument/2006/relationships" ref="M47" display="https://www.amazon.de/dp/B0BTHSVQ89" r:id="rId43"/>
    <hyperlink xmlns:r="http://schemas.openxmlformats.org/officeDocument/2006/relationships" ref="M48" display="https://www.amazon.de/dp/B01EV70C78" r:id="rId4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8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" customWidth="1" style="26" min="1" max="1"/>
    <col width="22" customWidth="1" style="26" min="2" max="2"/>
    <col width="16" customWidth="1" style="26" min="3" max="3"/>
    <col width="34" customWidth="1" style="26" min="4" max="4"/>
    <col width="10" customWidth="1" style="26" min="5" max="5"/>
    <col width="13" customWidth="1" style="26" min="6" max="6"/>
    <col width="11" customWidth="1" style="26" min="7" max="7"/>
    <col width="48" customWidth="1" style="26" min="8" max="8"/>
    <col width="40" customWidth="1" style="26" min="9" max="9"/>
  </cols>
  <sheetData>
    <row r="1" ht="15.75" customHeight="1" s="27">
      <c r="A1" s="41" t="inlineStr">
        <is>
          <t>Korb 1: Schnell (DE-Shops, 1–3 Tage) – 4 Shops (Amazon, Berrybase, Reichelt, alleschrauben.de)</t>
        </is>
      </c>
    </row>
    <row r="2" ht="27.75" customHeight="1" s="27">
      <c r="A2" s="28" t="inlineStr">
        <is>
          <t>Pos</t>
        </is>
      </c>
      <c r="B2" s="28" t="inlineStr">
        <is>
          <t>Bauteil</t>
        </is>
      </c>
      <c r="C2" s="28" t="inlineStr">
        <is>
          <t>Shop</t>
        </is>
      </c>
      <c r="D2" s="28" t="inlineStr">
        <is>
          <t>Artikel</t>
        </is>
      </c>
      <c r="E2" s="28" t="inlineStr">
        <is>
          <t>Packungen</t>
        </is>
      </c>
      <c r="F2" s="28" t="inlineStr">
        <is>
          <t>Preis/Packung €</t>
        </is>
      </c>
      <c r="G2" s="28" t="inlineStr">
        <is>
          <t>Summe €</t>
        </is>
      </c>
      <c r="H2" s="28" t="inlineStr">
        <is>
          <t>Link</t>
        </is>
      </c>
      <c r="I2" s="28" t="inlineStr">
        <is>
          <t>Hinweis</t>
        </is>
      </c>
    </row>
    <row r="3" ht="15" customHeight="1" s="27">
      <c r="A3" s="29" t="n">
        <v>1</v>
      </c>
      <c r="B3" s="29" t="inlineStr">
        <is>
          <t>CYD</t>
        </is>
      </c>
      <c r="C3" s="29" t="inlineStr">
        <is>
          <t>Amazon</t>
        </is>
      </c>
      <c r="D3" s="29" t="inlineStr">
        <is>
          <t>Fastsaw ESP32-2432S028R</t>
        </is>
      </c>
      <c r="E3" s="29" t="n">
        <v>1</v>
      </c>
      <c r="F3" s="30" t="n">
        <v>17.99</v>
      </c>
      <c r="G3" s="30">
        <f>E3*F3</f>
        <v/>
      </c>
      <c r="H3" s="32" t="inlineStr">
        <is>
          <t>https://www.amazon.de/dp/B0G1N16Q16</t>
        </is>
      </c>
      <c r="I3" s="29" t="n"/>
    </row>
    <row r="4" ht="15" customHeight="1" s="27">
      <c r="A4" s="29" t="n">
        <v>2</v>
      </c>
      <c r="B4" s="29" t="inlineStr">
        <is>
          <t>Wägezelle 5 kg + HX711</t>
        </is>
      </c>
      <c r="C4" s="29" t="inlineStr">
        <is>
          <t>Amazon</t>
        </is>
      </c>
      <c r="D4" s="29" t="inlineStr">
        <is>
          <t>DIYmalls 5 kg + HX711</t>
        </is>
      </c>
      <c r="E4" s="29" t="n">
        <v>1</v>
      </c>
      <c r="F4" s="30" t="n">
        <v>8.970000000000001</v>
      </c>
      <c r="G4" s="30">
        <f>E4*F4</f>
        <v/>
      </c>
      <c r="H4" s="32" t="inlineStr">
        <is>
          <t>https://www.amazon.de/dp/B0B9H3YMT2</t>
        </is>
      </c>
      <c r="I4" s="29" t="inlineStr">
        <is>
          <t>HX711-Pins selbst löten</t>
        </is>
      </c>
    </row>
    <row r="5" ht="15" customHeight="1" s="27">
      <c r="A5" s="29" t="n">
        <v>3</v>
      </c>
      <c r="B5" s="29" t="inlineStr">
        <is>
          <t>COB-LED-Streifen</t>
        </is>
      </c>
      <c r="C5" s="29" t="inlineStr">
        <is>
          <t>Amazon</t>
        </is>
      </c>
      <c r="D5" s="29" t="inlineStr">
        <is>
          <t>BTF WS2812B FCOB 1 m 160/m 5 mm</t>
        </is>
      </c>
      <c r="E5" s="29" t="n">
        <v>1</v>
      </c>
      <c r="F5" s="30" t="n">
        <v>16.99</v>
      </c>
      <c r="G5" s="30">
        <f>E5*F5</f>
        <v/>
      </c>
      <c r="H5" s="32" t="inlineStr">
        <is>
          <t>https://www.amazon.de/dp/B0H41MCVSW</t>
        </is>
      </c>
      <c r="I5" s="29" t="inlineStr">
        <is>
          <t>Variante „1M 160LEDs/m 5mm“; 26 LEDs (13 Segmente) abschneiden; Diffusor wird gedruckt (0 €)</t>
        </is>
      </c>
    </row>
    <row r="6" ht="15" customHeight="1" s="27">
      <c r="A6" s="29" t="n">
        <v>5</v>
      </c>
      <c r="B6" s="29" t="inlineStr">
        <is>
          <t>P-MOSFET</t>
        </is>
      </c>
      <c r="C6" s="29" t="inlineStr">
        <is>
          <t>Reichelt</t>
        </is>
      </c>
      <c r="D6" s="29" t="inlineStr">
        <is>
          <t>AO3401A SOT-23</t>
        </is>
      </c>
      <c r="E6" s="29" t="n">
        <v>2</v>
      </c>
      <c r="F6" s="30" t="n">
        <v>0.17</v>
      </c>
      <c r="G6" s="30">
        <f>E6*F6</f>
        <v/>
      </c>
      <c r="H6" s="32" t="inlineStr">
        <is>
          <t>https://www.reichelt.de/de/de/shop/produkt/mosfet_p-ch_-30v_-4a_0_041r_sot-23-166486</t>
        </is>
      </c>
      <c r="I6" s="29" t="inlineStr">
        <is>
          <t>Q1 LED-Strom + Q2 Akku-Schalter (V4); Berrybase hat keinen P-MOSFET</t>
        </is>
      </c>
    </row>
    <row r="7" ht="15" customHeight="1" s="27">
      <c r="A7" s="29" t="n">
        <v>6</v>
      </c>
      <c r="B7" s="29" t="inlineStr">
        <is>
          <t>LiPo</t>
        </is>
      </c>
      <c r="C7" s="29" t="inlineStr">
        <is>
          <t>Amazon</t>
        </is>
      </c>
      <c r="D7" s="29" t="inlineStr">
        <is>
          <t>EEMB LP103454</t>
        </is>
      </c>
      <c r="E7" s="29" t="n">
        <v>1</v>
      </c>
      <c r="F7" s="30" t="n">
        <v>10.99</v>
      </c>
      <c r="G7" s="30">
        <f>E7*F7</f>
        <v/>
      </c>
      <c r="H7" s="32" t="inlineStr">
        <is>
          <t>https://www.amazon.de/dp/B08214DJLJ</t>
        </is>
      </c>
      <c r="I7" s="29" t="inlineStr">
        <is>
          <t>Polarität prüfen</t>
        </is>
      </c>
    </row>
    <row r="8" ht="15" customHeight="1" s="27">
      <c r="A8" s="29" t="n">
        <v>7</v>
      </c>
      <c r="B8" s="29" t="inlineStr">
        <is>
          <t>TC4056 USB-C</t>
        </is>
      </c>
      <c r="C8" s="29" t="inlineStr">
        <is>
          <t>Amazon</t>
        </is>
      </c>
      <c r="D8" s="29" t="inlineStr">
        <is>
          <t>TC4056 USB-C (10 Stk)</t>
        </is>
      </c>
      <c r="E8" s="29" t="n">
        <v>1</v>
      </c>
      <c r="F8" s="30" t="n">
        <v>6.99</v>
      </c>
      <c r="G8" s="30">
        <f>E8*F8</f>
        <v/>
      </c>
      <c r="H8" s="32" t="inlineStr">
        <is>
          <t>https://www.amazon.de/dp/B0F67KYB4F</t>
        </is>
      </c>
      <c r="I8" s="29" t="inlineStr">
        <is>
          <t>Länge messen (Fach 26 mm)</t>
        </is>
      </c>
    </row>
    <row r="9" ht="15" customHeight="1" s="27">
      <c r="A9" s="29" t="n">
        <v>13</v>
      </c>
      <c r="B9" s="29" t="inlineStr">
        <is>
          <t>Silikonmatte</t>
        </is>
      </c>
      <c r="C9" s="29" t="inlineStr">
        <is>
          <t>Amazon</t>
        </is>
      </c>
      <c r="D9" s="29" t="inlineStr">
        <is>
          <t>FICOFISE 40×30 cm 1,2 mm</t>
        </is>
      </c>
      <c r="E9" s="29" t="n">
        <v>1</v>
      </c>
      <c r="F9" s="30" t="n">
        <v>7.59</v>
      </c>
      <c r="G9" s="30">
        <f>E9*F9</f>
        <v/>
      </c>
      <c r="H9" s="32" t="inlineStr">
        <is>
          <t>https://www.amazon.de/dp/B0GVNMS4DZ</t>
        </is>
      </c>
      <c r="I9" s="29" t="n"/>
    </row>
    <row r="10" ht="15" customHeight="1" s="27">
      <c r="A10" s="29" t="n">
        <v>4</v>
      </c>
      <c r="B10" s="29" t="inlineStr">
        <is>
          <t>Regensensor</t>
        </is>
      </c>
      <c r="C10" s="29" t="inlineStr">
        <is>
          <t>Berrybase</t>
        </is>
      </c>
      <c r="D10" s="29" t="inlineStr">
        <is>
          <t>Regensensor dig./analog</t>
        </is>
      </c>
      <c r="E10" s="29" t="n">
        <v>1</v>
      </c>
      <c r="F10" s="30" t="n">
        <v>1.8</v>
      </c>
      <c r="G10" s="30">
        <f>E10*F10</f>
        <v/>
      </c>
      <c r="H10" s="32" t="inlineStr">
        <is>
          <t>https://www.berrybase.de/regensensor-mit-digitalem-und-analogem-ausgang</t>
        </is>
      </c>
      <c r="I10" s="29" t="n"/>
    </row>
    <row r="11" ht="15" customHeight="1" s="27">
      <c r="A11" s="29" t="n">
        <v>8</v>
      </c>
      <c r="B11" s="29" t="inlineStr">
        <is>
          <t>Step-Up 5 V</t>
        </is>
      </c>
      <c r="C11" s="29" t="inlineStr">
        <is>
          <t>Berrybase</t>
        </is>
      </c>
      <c r="D11" s="29" t="inlineStr">
        <is>
          <t>Pololu S13V10F5</t>
        </is>
      </c>
      <c r="E11" s="29" t="n">
        <v>1</v>
      </c>
      <c r="F11" s="30" t="n">
        <v>9.949999999999999</v>
      </c>
      <c r="G11" s="30">
        <f>E11*F11</f>
        <v/>
      </c>
      <c r="H11" s="32" t="inlineStr">
        <is>
          <t>https://www.berrybase.de/pololu-s13v10f5-5v-1a-step-up-step-down-converter</t>
        </is>
      </c>
      <c r="I11" s="29" t="inlineStr">
        <is>
          <t>statt MT3608 (zu schwach, ca. 0,5 A bei 3,7 V)</t>
        </is>
      </c>
    </row>
    <row r="12" ht="15" customHeight="1" s="27">
      <c r="A12" s="29" t="n">
        <v>12</v>
      </c>
      <c r="B12" s="29" t="inlineStr">
        <is>
          <t>Füße</t>
        </is>
      </c>
      <c r="C12" s="29" t="inlineStr">
        <is>
          <t>Berrybase</t>
        </is>
      </c>
      <c r="D12" s="29" t="inlineStr">
        <is>
          <t>FIX&amp;FASTEN Ø10×4,5</t>
        </is>
      </c>
      <c r="E12" s="29" t="n">
        <v>4</v>
      </c>
      <c r="F12" s="30" t="n">
        <v>0.15</v>
      </c>
      <c r="G12" s="30">
        <f>E12*F12</f>
        <v/>
      </c>
      <c r="H12" s="32" t="inlineStr">
        <is>
          <t>https://www.berrybase.de/fix-fasten-selbstklebender-fuss-rund-oben-9-5mm-unten-10mm-hoehe-4-5mm-gummi-schwarz</t>
        </is>
      </c>
      <c r="I12" s="29" t="n"/>
    </row>
    <row r="13" ht="15" customHeight="1" s="27">
      <c r="A13" s="29" t="n">
        <v>14</v>
      </c>
      <c r="B13" s="29" t="inlineStr">
        <is>
          <t>Widerstand (Ersatz 10k)</t>
        </is>
      </c>
      <c r="C13" s="29" t="inlineStr">
        <is>
          <t>Berrybase</t>
        </is>
      </c>
      <c r="D13" s="29" t="inlineStr">
        <is>
          <t>Metallschicht 10 kΩ</t>
        </is>
      </c>
      <c r="E13" s="29" t="n">
        <v>2</v>
      </c>
      <c r="F13" s="30" t="n">
        <v>0.05</v>
      </c>
      <c r="G13" s="30">
        <f>E13*F13</f>
        <v/>
      </c>
      <c r="H13" s="32" t="inlineStr">
        <is>
          <t>https://www.berrybase.de/metallschichtwiderstand-10-0-kohm-1-4w-1-0207-axial-durchsteckmontage</t>
        </is>
      </c>
      <c r="I13" s="29" t="inlineStr">
        <is>
          <t>100k bei Berrybase nicht lieferbar</t>
        </is>
      </c>
    </row>
    <row r="14" ht="15" customHeight="1" s="27">
      <c r="A14" s="29" t="n">
        <v>15</v>
      </c>
      <c r="B14" s="29" t="inlineStr">
        <is>
          <t>Litze</t>
        </is>
      </c>
      <c r="C14" s="29" t="inlineStr">
        <is>
          <t>Berrybase</t>
        </is>
      </c>
      <c r="D14" s="29" t="inlineStr">
        <is>
          <t>Vierlingslitze 4×0,14 mm² 5 m</t>
        </is>
      </c>
      <c r="E14" s="29" t="n">
        <v>1</v>
      </c>
      <c r="F14" s="30" t="n">
        <v>3.5</v>
      </c>
      <c r="G14" s="30">
        <f>E14*F14</f>
        <v/>
      </c>
      <c r="H14" s="32" t="inlineStr">
        <is>
          <t>https://www.berrybase.de/vierlingslitze-isoliert-4x0-14mm-5m-farbe-blau-gelb-rot-gruen</t>
        </is>
      </c>
      <c r="I14" s="29" t="n"/>
    </row>
    <row r="15" ht="15" customHeight="1" s="27">
      <c r="A15" s="29" t="n">
        <v>18</v>
      </c>
      <c r="B15" s="29" t="inlineStr">
        <is>
          <t>Schrumpfschlauch</t>
        </is>
      </c>
      <c r="C15" s="29" t="inlineStr">
        <is>
          <t>Berrybase</t>
        </is>
      </c>
      <c r="D15" s="29" t="inlineStr">
        <is>
          <t>Set 100-tlg. schwarz</t>
        </is>
      </c>
      <c r="E15" s="29" t="n">
        <v>1</v>
      </c>
      <c r="F15" s="30" t="n">
        <v>2.8</v>
      </c>
      <c r="G15" s="30">
        <f>E15*F15</f>
        <v/>
      </c>
      <c r="H15" s="32" t="inlineStr">
        <is>
          <t>https://www.berrybase.de/schrumpfschlauch-set-100-teilig-in-sortimentsbox-schwarz</t>
        </is>
      </c>
      <c r="I15" s="29" t="n"/>
    </row>
    <row r="16" ht="15" customHeight="1" s="27">
      <c r="A16" s="29" t="n">
        <v>19</v>
      </c>
      <c r="B16" s="29" t="inlineStr">
        <is>
          <t>Klebeband</t>
        </is>
      </c>
      <c r="C16" s="29" t="inlineStr">
        <is>
          <t>Berrybase</t>
        </is>
      </c>
      <c r="D16" s="29" t="inlineStr">
        <is>
          <t>TESA doppelseitig 12 mm</t>
        </is>
      </c>
      <c r="E16" s="29" t="n">
        <v>1</v>
      </c>
      <c r="F16" s="30" t="n">
        <v>2.9</v>
      </c>
      <c r="G16" s="30">
        <f>E16*F16</f>
        <v/>
      </c>
      <c r="H16" s="32" t="inlineStr">
        <is>
          <t>https://www.berrybase.de/tesa-doppelseitiges-klebeband-10m-x-12mm-transparent-pp-traeger-loesungsmittelfrei</t>
        </is>
      </c>
      <c r="I16" s="29" t="inlineStr">
        <is>
          <t>nur 1 auf Lager</t>
        </is>
      </c>
    </row>
    <row r="17" ht="15" customHeight="1" s="27">
      <c r="A17" s="29" t="n">
        <v>20</v>
      </c>
      <c r="B17" s="29" t="inlineStr">
        <is>
          <t>Kabelbinder</t>
        </is>
      </c>
      <c r="C17" s="29" t="inlineStr">
        <is>
          <t>Berrybase</t>
        </is>
      </c>
      <c r="D17" s="29" t="inlineStr">
        <is>
          <t>100×2,5 (100 Stk)</t>
        </is>
      </c>
      <c r="E17" s="29" t="n">
        <v>1</v>
      </c>
      <c r="F17" s="30" t="n">
        <v>0.6</v>
      </c>
      <c r="G17" s="30">
        <f>E17*F17</f>
        <v/>
      </c>
      <c r="H17" s="32" t="inlineStr">
        <is>
          <t>https://www.berrybase.de/kabelbinder-uv-bestaendig-nylon-100-stueck/farbe-transparent/masse-100x2-5mm</t>
        </is>
      </c>
      <c r="I17" s="29" t="n"/>
    </row>
    <row r="18" ht="15" customHeight="1" s="27">
      <c r="A18" s="29" t="n">
        <v>24</v>
      </c>
      <c r="B18" s="29" t="inlineStr">
        <is>
          <t>Treiber-Transistor</t>
        </is>
      </c>
      <c r="C18" s="29" t="inlineStr">
        <is>
          <t>Berrybase</t>
        </is>
      </c>
      <c r="D18" s="29" t="inlineStr">
        <is>
          <t>BC547B NPN TO-92</t>
        </is>
      </c>
      <c r="E18" s="29" t="n">
        <v>1</v>
      </c>
      <c r="F18" s="30" t="n">
        <v>0.17</v>
      </c>
      <c r="G18" s="30">
        <f>E18*F18</f>
        <v/>
      </c>
      <c r="H18" s="32" t="inlineStr">
        <is>
          <t>https://www.berrybase.de/bc547b-bipolarer-transistor-npn-45v-100ma-to-92-3-pin</t>
        </is>
      </c>
      <c r="I18" s="29" t="inlineStr">
        <is>
          <t>schaltet das Gate von Q1 (GPIO18 → 4,7 kΩ → Basis)</t>
        </is>
      </c>
    </row>
    <row r="19" ht="15" customHeight="1" s="27">
      <c r="A19" s="29" t="n">
        <v>25</v>
      </c>
      <c r="B19" s="29" t="inlineStr">
        <is>
          <t>Widerstand 470 Ω</t>
        </is>
      </c>
      <c r="C19" s="29" t="inlineStr">
        <is>
          <t>Berrybase</t>
        </is>
      </c>
      <c r="D19" s="29" t="inlineStr">
        <is>
          <t>Metallschicht 470 Ω</t>
        </is>
      </c>
      <c r="E19" s="29" t="n">
        <v>1</v>
      </c>
      <c r="F19" s="30" t="n">
        <v>0.05</v>
      </c>
      <c r="G19" s="30">
        <f>E19*F19</f>
        <v/>
      </c>
      <c r="H19" s="32" t="inlineStr">
        <is>
          <t>https://www.berrybase.de/metallschichtwiderstand-470-0-ohm-1-4w-1-0207-axial-durchsteckmontage</t>
        </is>
      </c>
      <c r="I19" s="29" t="inlineStr">
        <is>
          <t>in DIN direkt am LED-Streifen</t>
        </is>
      </c>
    </row>
    <row r="20" ht="15" customHeight="1" s="27">
      <c r="A20" s="29" t="n">
        <v>26</v>
      </c>
      <c r="B20" s="29" t="inlineStr">
        <is>
          <t>Widerstand 4,7 kΩ</t>
        </is>
      </c>
      <c r="C20" s="29" t="inlineStr">
        <is>
          <t>Berrybase</t>
        </is>
      </c>
      <c r="D20" s="29" t="inlineStr">
        <is>
          <t>Metallschicht 4,7 kΩ</t>
        </is>
      </c>
      <c r="E20" s="29" t="n">
        <v>1</v>
      </c>
      <c r="F20" s="30" t="n">
        <v>0.06</v>
      </c>
      <c r="G20" s="30">
        <f>E20*F20</f>
        <v/>
      </c>
      <c r="H20" s="32" t="inlineStr">
        <is>
          <t>https://www.berrybase.de/metallschichtwiderstand-4-7-kohm-1-4w-1-0207-axial-durchsteckmontage</t>
        </is>
      </c>
      <c r="I20" s="29" t="inlineStr">
        <is>
          <t>GPIO18 → Basis BC547B</t>
        </is>
      </c>
    </row>
    <row r="21" ht="15" customHeight="1" s="27">
      <c r="A21" s="29" t="n">
        <v>27</v>
      </c>
      <c r="B21" s="29" t="inlineStr">
        <is>
          <t>Widerstand 47 kΩ</t>
        </is>
      </c>
      <c r="C21" s="29" t="inlineStr">
        <is>
          <t>Berrybase</t>
        </is>
      </c>
      <c r="D21" s="29" t="inlineStr">
        <is>
          <t>Metallschicht 47 kΩ</t>
        </is>
      </c>
      <c r="E21" s="29" t="n">
        <v>2</v>
      </c>
      <c r="F21" s="30" t="n">
        <v>0.05</v>
      </c>
      <c r="G21" s="30">
        <f>E21*F21</f>
        <v/>
      </c>
      <c r="H21" s="32" t="inlineStr">
        <is>
          <t>https://www.berrybase.de/metallschichtwiderstand-47-0-kohm-1-4w-1-0207-axial-durchsteckmontage</t>
        </is>
      </c>
      <c r="I21" s="29" t="inlineStr">
        <is>
          <t>Basis→GND und Gate→Source Q2</t>
        </is>
      </c>
    </row>
    <row r="22" ht="15" customHeight="1" s="27">
      <c r="A22" s="29" t="n">
        <v>28</v>
      </c>
      <c r="B22" s="29" t="inlineStr">
        <is>
          <t>Widerstand 10 kΩ (Gate Q1)</t>
        </is>
      </c>
      <c r="C22" s="29" t="inlineStr">
        <is>
          <t>Berrybase</t>
        </is>
      </c>
      <c r="D22" s="29" t="inlineStr">
        <is>
          <t>Metallschicht 10 kΩ</t>
        </is>
      </c>
      <c r="E22" s="29" t="n">
        <v>1</v>
      </c>
      <c r="F22" s="30" t="n">
        <v>0.05</v>
      </c>
      <c r="G22" s="30">
        <f>E22*F22</f>
        <v/>
      </c>
      <c r="H22" s="32" t="inlineStr">
        <is>
          <t>https://www.berrybase.de/metallschichtwiderstand-10-0-kohm-1-4w-1-0207-axial-durchsteckmontage</t>
        </is>
      </c>
      <c r="I22" s="29" t="inlineStr">
        <is>
          <t>Gate→Source Q1; zusätzlich zu den 2 Stk. für den Akku-Teiler</t>
        </is>
      </c>
    </row>
    <row r="23" ht="15" customHeight="1" s="27">
      <c r="A23" s="29" t="n">
        <v>29</v>
      </c>
      <c r="B23" s="29" t="inlineStr">
        <is>
          <t>SOT-23-Adapter</t>
        </is>
      </c>
      <c r="C23" s="29" t="inlineStr">
        <is>
          <t>Berrybase</t>
        </is>
      </c>
      <c r="D23" s="29" t="inlineStr">
        <is>
          <t>SMD-Adapter SOT23/SSOP10</t>
        </is>
      </c>
      <c r="E23" s="29" t="n">
        <v>2</v>
      </c>
      <c r="F23" s="30" t="n">
        <v>0.32</v>
      </c>
      <c r="G23" s="30">
        <f>E23*F23</f>
        <v/>
      </c>
      <c r="H23" s="32" t="inlineStr">
        <is>
          <t>https://www.berrybase.de/smd-breakout-adapter-fuer-sot23-ssop10-msop10-10-pin-0-50mm-0-95mm</t>
        </is>
      </c>
      <c r="I23" s="29" t="inlineStr">
        <is>
          <t>je ein AO3401A darauf löten; ohne Stiftleiste geliefert</t>
        </is>
      </c>
    </row>
    <row r="24" ht="15" customHeight="1" s="27">
      <c r="A24" s="29" t="n">
        <v>30</v>
      </c>
      <c r="B24" s="29" t="inlineStr">
        <is>
          <t>Stiftleiste</t>
        </is>
      </c>
      <c r="C24" s="29" t="inlineStr">
        <is>
          <t>Berrybase</t>
        </is>
      </c>
      <c r="D24" s="29" t="inlineStr">
        <is>
          <t>Stiftleiste 1×20 RM 2,54</t>
        </is>
      </c>
      <c r="E24" s="29" t="n">
        <v>1</v>
      </c>
      <c r="F24" s="30" t="n">
        <v>0.2</v>
      </c>
      <c r="G24" s="30">
        <f>E24*F24</f>
        <v/>
      </c>
      <c r="H24" s="32" t="inlineStr">
        <is>
          <t>https://www.berrybase.de/stiftleiste-1x-20-polig-rm-2-54-gerade</t>
        </is>
      </c>
      <c r="I24" s="29" t="inlineStr">
        <is>
          <t>für die 2 SOT-23-Adapter</t>
        </is>
      </c>
    </row>
    <row r="25" ht="15" customHeight="1" s="27">
      <c r="A25" s="29" t="n">
        <v>31</v>
      </c>
      <c r="B25" s="29" t="inlineStr">
        <is>
          <t>Elko 470 µF</t>
        </is>
      </c>
      <c r="C25" s="29" t="inlineStr">
        <is>
          <t>Berrybase</t>
        </is>
      </c>
      <c r="D25" s="29" t="inlineStr">
        <is>
          <t>Elko 470 µF 25 V</t>
        </is>
      </c>
      <c r="E25" s="29" t="n">
        <v>1</v>
      </c>
      <c r="F25" s="30" t="n">
        <v>0.1</v>
      </c>
      <c r="G25" s="30">
        <f>E25*F25</f>
        <v/>
      </c>
      <c r="H25" s="32" t="inlineStr">
        <is>
          <t>https://www.berrybase.de/elektrolytkondensator-470-f-25v-1050c-1-radial-tht</t>
        </is>
      </c>
      <c r="I25" s="29" t="inlineStr">
        <is>
          <t>5 V → GND vor Q1, liegt auf der FET-Platine</t>
        </is>
      </c>
    </row>
    <row r="26" ht="15" customHeight="1" s="27">
      <c r="A26" s="29" t="n">
        <v>32</v>
      </c>
      <c r="B26" s="29" t="inlineStr">
        <is>
          <t>Lochrasterplatine</t>
        </is>
      </c>
      <c r="C26" s="29" t="inlineStr">
        <is>
          <t>Berrybase</t>
        </is>
      </c>
      <c r="D26" s="29" t="inlineStr">
        <is>
          <t>Lochraster einseitig</t>
        </is>
      </c>
      <c r="E26" s="29" t="n">
        <v>1</v>
      </c>
      <c r="F26" s="30" t="n">
        <v>1.1</v>
      </c>
      <c r="G26" s="30">
        <f>E26*F26</f>
        <v/>
      </c>
      <c r="H26" s="32" t="inlineStr">
        <is>
          <t>https://www.berrybase.de/lochrasterplatine-9x15cm-mit-einseitiger-kupferauflage</t>
        </is>
      </c>
      <c r="I26" s="29" t="inlineStr">
        <is>
          <t>auf 30 × 24,5 mm zuschneiden; 5 × 7 cm (0,30 €) nicht lieferbar</t>
        </is>
      </c>
    </row>
    <row r="27" ht="15" customHeight="1" s="27">
      <c r="A27" s="29" t="n">
        <v>33</v>
      </c>
      <c r="B27" s="29" t="inlineStr">
        <is>
          <t>Ein/Aus-Schalter</t>
        </is>
      </c>
      <c r="C27" s="29" t="inlineStr">
        <is>
          <t>Berrybase</t>
        </is>
      </c>
      <c r="D27" s="29" t="inlineStr">
        <is>
          <t>Schiebeschalter C&amp;K OS102011MS2QN1</t>
        </is>
      </c>
      <c r="E27" s="29" t="n">
        <v>1</v>
      </c>
      <c r="F27" s="30" t="n">
        <v>0.7</v>
      </c>
      <c r="G27" s="30">
        <f>E27*F27</f>
        <v/>
      </c>
      <c r="H27" s="32" t="inlineStr">
        <is>
          <t>https://www.berrybase.de/schiebeschalter-printmontage-on-on-2-stellig-8.6x4.3x4mm-gerade</t>
        </is>
      </c>
      <c r="I27" s="29" t="inlineStr">
        <is>
          <t>schaltet nur das Gate von Q2 (ca. 0,08 mA, Schalter 0,1 A)</t>
        </is>
      </c>
    </row>
    <row r="28" ht="15" customHeight="1" s="27">
      <c r="A28" s="29" t="n">
        <v>9</v>
      </c>
      <c r="B28" s="29" t="inlineStr">
        <is>
          <t>M3×12</t>
        </is>
      </c>
      <c r="C28" s="29" t="inlineStr">
        <is>
          <t>alleschrauben.de</t>
        </is>
      </c>
      <c r="D28" s="29" t="inlineStr">
        <is>
          <t>DIN 7991 A2 (10 Stk)</t>
        </is>
      </c>
      <c r="E28" s="29" t="n">
        <v>10</v>
      </c>
      <c r="F28" s="30" t="n">
        <v>0.25</v>
      </c>
      <c r="G28" s="30">
        <f>E28*F28</f>
        <v/>
      </c>
      <c r="H28" s="32" t="inlineStr">
        <is>
          <t>https://alleschrauben.de/Schrauben/Senkkopf/Senkkopfschrauben-DIN-7991/Senkkopfschrauben-M3x12-mit-Innensechskant-DIN-7991-Edelstahl-A2</t>
        </is>
      </c>
      <c r="I28" s="29" t="n"/>
    </row>
    <row r="29" ht="15" customHeight="1" s="27">
      <c r="A29" s="29" t="n">
        <v>10</v>
      </c>
      <c r="B29" s="29" t="inlineStr">
        <is>
          <t>M4×10</t>
        </is>
      </c>
      <c r="C29" s="29" t="inlineStr">
        <is>
          <t>alleschrauben.de</t>
        </is>
      </c>
      <c r="D29" s="29" t="inlineStr">
        <is>
          <t>DIN 7991 A2</t>
        </is>
      </c>
      <c r="E29" s="29" t="n">
        <v>2</v>
      </c>
      <c r="F29" s="30" t="n">
        <v>0.5600000000000001</v>
      </c>
      <c r="G29" s="30">
        <f>E29*F29</f>
        <v/>
      </c>
      <c r="H29" s="32" t="inlineStr">
        <is>
          <t>https://alleschrauben.de/Schrauben/Senkkopf/Senkkopfschrauben-DIN-7991/Senkkopfschrauben-M4x10-mit-Innensechskant-DIN-7991-Edelstahl-A2</t>
        </is>
      </c>
      <c r="I29" s="29" t="n"/>
    </row>
    <row r="30" ht="15" customHeight="1" s="27">
      <c r="A30" s="29" t="n">
        <v>11</v>
      </c>
      <c r="B30" s="29" t="inlineStr">
        <is>
          <t>M5×12</t>
        </is>
      </c>
      <c r="C30" s="29" t="inlineStr">
        <is>
          <t>alleschrauben.de</t>
        </is>
      </c>
      <c r="D30" s="29" t="inlineStr">
        <is>
          <t>DIN 7991 A2</t>
        </is>
      </c>
      <c r="E30" s="29" t="n">
        <v>2</v>
      </c>
      <c r="F30" s="30" t="n">
        <v>0.62</v>
      </c>
      <c r="G30" s="30">
        <f>E30*F30</f>
        <v/>
      </c>
      <c r="H30" s="32" t="inlineStr">
        <is>
          <t>https://alleschrauben.de/Schrauben/Senkkopf/Senkkopfschrauben-DIN-7991/Senkkopfschrauben-M5x12-mit-Innensechskant-DIN-7991-Edelstahl-A2</t>
        </is>
      </c>
      <c r="I30" s="29" t="n"/>
    </row>
    <row r="31" ht="15" customHeight="1" s="27">
      <c r="H31" s="26" t="inlineStr">
        <is>
          <t>https://de.aliexpress.com/item/1005009535167188.html</t>
        </is>
      </c>
    </row>
    <row r="32" ht="15" customHeight="1" s="27">
      <c r="A32" s="42" t="inlineStr">
        <is>
          <t>Shop</t>
        </is>
      </c>
      <c r="D32" s="42" t="inlineStr">
        <is>
          <t>Warenwert €</t>
        </is>
      </c>
      <c r="F32" s="42" t="inlineStr">
        <is>
          <t>Versand €</t>
        </is>
      </c>
      <c r="G32" s="42" t="inlineStr">
        <is>
          <t>Shop gesamt €</t>
        </is>
      </c>
      <c r="H32" s="43" t="inlineStr">
        <is>
          <t>Versand-Hinweis</t>
        </is>
      </c>
    </row>
    <row r="33" ht="15" customHeight="1" s="27">
      <c r="A33" s="44" t="inlineStr">
        <is>
          <t>Amazon</t>
        </is>
      </c>
      <c r="B33" s="44" t="n"/>
      <c r="C33" s="44" t="n"/>
      <c r="D33" s="45">
        <f>SUMIF($C$3:$C$30,A33,$G$3:$G$30)</f>
        <v/>
      </c>
      <c r="E33" s="44" t="n"/>
      <c r="F33" s="45">
        <f>IF(D33&gt;=49,0,3.99)</f>
        <v/>
      </c>
      <c r="G33" s="45">
        <f>D33+N(F33)</f>
        <v/>
      </c>
      <c r="H33" s="44" t="inlineStr">
        <is>
          <t>frei ab 49 € nur bei 'Versand durch Amazon' – im Warenkorb prüfen</t>
        </is>
      </c>
      <c r="I33" s="44" t="n"/>
    </row>
    <row r="34" ht="15" customHeight="1" s="27">
      <c r="A34" s="44" t="inlineStr">
        <is>
          <t>Berrybase</t>
        </is>
      </c>
      <c r="B34" s="44" t="n"/>
      <c r="C34" s="44" t="n"/>
      <c r="D34" s="45">
        <f>SUMIF($C$3:$C$30,A34,$G$3:$G$30)</f>
        <v/>
      </c>
      <c r="E34" s="44" t="n"/>
      <c r="F34" s="45">
        <f>IF(D34&gt;=150,0,4.95)</f>
        <v/>
      </c>
      <c r="G34" s="45">
        <f>D34+N(F34)</f>
        <v/>
      </c>
      <c r="H34" s="44" t="inlineStr">
        <is>
          <t>DHL</t>
        </is>
      </c>
      <c r="I34" s="44" t="n"/>
    </row>
    <row r="35" ht="15" customHeight="1" s="27">
      <c r="A35" s="44" t="inlineStr">
        <is>
          <t>Reichelt</t>
        </is>
      </c>
      <c r="B35" s="44" t="n"/>
      <c r="C35" s="44" t="n"/>
      <c r="D35" s="45">
        <f>SUMIF($C$3:$C$30,A35,$G$3:$G$30)</f>
        <v/>
      </c>
      <c r="E35" s="44" t="n"/>
      <c r="F35" s="45">
        <f>IF(D35&gt;0,5.95,0)</f>
        <v/>
      </c>
      <c r="G35" s="45">
        <f>D35+N(F35)</f>
        <v/>
      </c>
      <c r="H35" s="44" t="inlineStr">
        <is>
          <t>Versandkosten ab 5,95 € (Reichelt-Produktseite, 09.10.2026)</t>
        </is>
      </c>
      <c r="I35" s="44" t="n"/>
    </row>
    <row r="36" ht="15" customHeight="1" s="27">
      <c r="A36" s="44" t="inlineStr">
        <is>
          <t>alleschrauben.de</t>
        </is>
      </c>
      <c r="B36" s="44" t="n"/>
      <c r="C36" s="44" t="n"/>
      <c r="D36" s="45">
        <f>SUMIF($C$3:$C$30,A36,$G$3:$G$30)</f>
        <v/>
      </c>
      <c r="E36" s="44" t="n"/>
      <c r="F36" s="45" t="n"/>
      <c r="G36" s="45">
        <f>D36+N(F36)</f>
        <v/>
      </c>
      <c r="H36" s="44" t="inlineStr">
        <is>
          <t>Versand nicht lesbar (frei ab 79 €)</t>
        </is>
      </c>
      <c r="I36" s="44" t="n"/>
    </row>
    <row r="37" ht="15" customHeight="1" s="27">
      <c r="A37" s="46" t="inlineStr">
        <is>
          <t>GESAMT inkl. Versand</t>
        </is>
      </c>
      <c r="B37" s="47" t="n"/>
      <c r="C37" s="47" t="n"/>
      <c r="D37" s="48">
        <f>SUM(D33:D36)</f>
        <v/>
      </c>
      <c r="E37" s="47" t="n"/>
      <c r="F37" s="48">
        <f>SUM(F33:F36)</f>
        <v/>
      </c>
      <c r="G37" s="49">
        <f>SUM(G33:G36)</f>
        <v/>
      </c>
      <c r="H37" s="47" t="inlineStr">
        <is>
          <t>+ Versand alleschrauben.de (nicht lesbar)</t>
        </is>
      </c>
      <c r="I37" s="47" t="n"/>
    </row>
    <row r="38" ht="15" customHeight="1" s="27">
      <c r="H38" s="26" t="inlineStr">
        <is>
          <t>https://de.aliexpress.com/item/1005009886368149.html</t>
        </is>
      </c>
    </row>
    <row r="39" ht="15" customHeight="1" s="27">
      <c r="H39" s="26" t="inlineStr">
        <is>
          <t>https://www.amazon.de/dp/B0DG8B58PM</t>
        </is>
      </c>
    </row>
    <row r="40" ht="15.75" customHeight="1" s="27">
      <c r="A40" s="41" t="inlineStr">
        <is>
          <t>Korb 2: Am günstigsten (inkl. AliExpress, 1–3 Wochen) – AliExpress-Werte sind ab-Preise</t>
        </is>
      </c>
      <c r="H40" s="26" t="inlineStr">
        <is>
          <t>https://www.amazon.de/dp/B08214DJLJ</t>
        </is>
      </c>
    </row>
    <row r="41" ht="27.75" customHeight="1" s="27">
      <c r="A41" s="28" t="inlineStr">
        <is>
          <t>Pos</t>
        </is>
      </c>
      <c r="B41" s="28" t="inlineStr">
        <is>
          <t>Bauteil</t>
        </is>
      </c>
      <c r="C41" s="28" t="inlineStr">
        <is>
          <t>Shop</t>
        </is>
      </c>
      <c r="D41" s="28" t="inlineStr">
        <is>
          <t>Artikel</t>
        </is>
      </c>
      <c r="E41" s="28" t="inlineStr">
        <is>
          <t>Packungen</t>
        </is>
      </c>
      <c r="F41" s="28" t="inlineStr">
        <is>
          <t>Preis/Packung €</t>
        </is>
      </c>
      <c r="G41" s="28" t="inlineStr">
        <is>
          <t>Summe €</t>
        </is>
      </c>
      <c r="H41" s="28" t="inlineStr">
        <is>
          <t>Link</t>
        </is>
      </c>
      <c r="I41" s="28" t="inlineStr">
        <is>
          <t>Hinweis</t>
        </is>
      </c>
    </row>
    <row r="42" ht="15" customHeight="1" s="27">
      <c r="A42" s="29" t="n">
        <v>1</v>
      </c>
      <c r="B42" s="29" t="inlineStr">
        <is>
          <t>CYD</t>
        </is>
      </c>
      <c r="C42" s="29" t="inlineStr">
        <is>
          <t>AliExpress</t>
        </is>
      </c>
      <c r="D42" s="29" t="inlineStr">
        <is>
          <t>ESP32-2432S028R (ab-Preis)</t>
        </is>
      </c>
      <c r="E42" s="29" t="n">
        <v>1</v>
      </c>
      <c r="F42" s="30" t="n">
        <v>15.39</v>
      </c>
      <c r="G42" s="30">
        <f>E42*F42</f>
        <v/>
      </c>
      <c r="H42" s="32" t="inlineStr">
        <is>
          <t>https://de.aliexpress.com/item/1005009535167188.html</t>
        </is>
      </c>
      <c r="I42" s="29" t="inlineStr">
        <is>
          <t>Variante prüfen</t>
        </is>
      </c>
    </row>
    <row r="43" ht="15" customHeight="1" s="27">
      <c r="A43" s="29" t="n">
        <v>2</v>
      </c>
      <c r="B43" s="29" t="inlineStr">
        <is>
          <t>Wägezelle 5 kg + HX711</t>
        </is>
      </c>
      <c r="C43" s="29" t="inlineStr">
        <is>
          <t>AliExpress</t>
        </is>
      </c>
      <c r="D43" s="29" t="inlineStr">
        <is>
          <t>Wägezelle+HX711 (ab-Preis)</t>
        </is>
      </c>
      <c r="E43" s="29" t="n">
        <v>1</v>
      </c>
      <c r="F43" s="30" t="n">
        <v>4.89</v>
      </c>
      <c r="G43" s="30">
        <f>E43*F43</f>
        <v/>
      </c>
      <c r="H43" s="32" t="inlineStr">
        <is>
          <t>https://de.aliexpress.com/item/1005009230467552.html</t>
        </is>
      </c>
      <c r="I43" s="29" t="inlineStr">
        <is>
          <t>5-kg-Preis nicht lesbar</t>
        </is>
      </c>
    </row>
    <row r="44" ht="15" customHeight="1" s="27">
      <c r="A44" s="29" t="n">
        <v>3</v>
      </c>
      <c r="B44" s="29" t="inlineStr">
        <is>
          <t>COB-LED-Streifen</t>
        </is>
      </c>
      <c r="C44" s="29" t="inlineStr">
        <is>
          <t>AliExpress</t>
        </is>
      </c>
      <c r="D44" s="29" t="inlineStr">
        <is>
          <t>WS2812B FCOB COB-Streifen (ab-Preis)</t>
        </is>
      </c>
      <c r="E44" s="29" t="n">
        <v>1</v>
      </c>
      <c r="F44" s="30" t="n">
        <v>7.59</v>
      </c>
      <c r="G44" s="30">
        <f>E44*F44</f>
        <v/>
      </c>
      <c r="H44" s="32" t="inlineStr">
        <is>
          <t>https://de.aliexpress.com/item/1005006422072860.html</t>
        </is>
      </c>
      <c r="I44" s="29" t="inlineStr">
        <is>
          <t>Preis der Variante 1 m/160 LED/m/5 mm nicht lesbar</t>
        </is>
      </c>
    </row>
    <row r="45" ht="15" customHeight="1" s="27">
      <c r="A45" s="29" t="n">
        <v>7</v>
      </c>
      <c r="B45" s="29" t="inlineStr">
        <is>
          <t>TC4056 USB-C</t>
        </is>
      </c>
      <c r="C45" s="29" t="inlineStr">
        <is>
          <t>AliExpress</t>
        </is>
      </c>
      <c r="D45" s="29" t="inlineStr">
        <is>
          <t>TP4056 Typ-C 2 Stk (ab-Preis)</t>
        </is>
      </c>
      <c r="E45" s="29" t="n">
        <v>1</v>
      </c>
      <c r="F45" s="30" t="n">
        <v>1.55</v>
      </c>
      <c r="G45" s="30">
        <f>E45*F45</f>
        <v/>
      </c>
      <c r="H45" s="32" t="inlineStr">
        <is>
          <t>https://de.aliexpress.com/item/1005013255677257.html</t>
        </is>
      </c>
      <c r="I45" s="29" t="inlineStr">
        <is>
          <t>Typ-C wählen</t>
        </is>
      </c>
    </row>
    <row r="46" ht="15" customHeight="1" s="27">
      <c r="A46" s="29" t="n">
        <v>8</v>
      </c>
      <c r="B46" s="29" t="inlineStr">
        <is>
          <t>Step-Up 5 V</t>
        </is>
      </c>
      <c r="C46" s="29" t="inlineStr">
        <is>
          <t>Berrybase</t>
        </is>
      </c>
      <c r="D46" s="29" t="inlineStr">
        <is>
          <t>Pololu S13V10F5 5 V 1 A</t>
        </is>
      </c>
      <c r="E46" s="29" t="n">
        <v>1</v>
      </c>
      <c r="F46" s="30" t="n">
        <v>9.949999999999999</v>
      </c>
      <c r="G46" s="30">
        <f>E46*F46</f>
        <v/>
      </c>
      <c r="H46" s="32" t="inlineStr">
        <is>
          <t>https://www.berrybase.de/pololu-s13v10f5-5v-1a-step-up-step-down-converter</t>
        </is>
      </c>
      <c r="I46" s="29" t="inlineStr">
        <is>
          <t>statt MT3608 (08.10.2026): MT3608 liefert bei 3,7 V nur ca. 0,5 A – zu wenig für CYD + 26 COB-LEDs</t>
        </is>
      </c>
    </row>
    <row r="47" ht="15" customHeight="1" s="27">
      <c r="A47" s="29" t="n">
        <v>15</v>
      </c>
      <c r="B47" s="29" t="inlineStr">
        <is>
          <t>Litze</t>
        </is>
      </c>
      <c r="C47" s="29" t="inlineStr">
        <is>
          <t>AliExpress</t>
        </is>
      </c>
      <c r="D47" s="29" t="inlineStr">
        <is>
          <t>Silikonlitze (ab-Preis)</t>
        </is>
      </c>
      <c r="E47" s="29" t="n">
        <v>1</v>
      </c>
      <c r="F47" s="30" t="n">
        <v>1.09</v>
      </c>
      <c r="G47" s="30">
        <f>E47*F47</f>
        <v/>
      </c>
      <c r="H47" s="32" t="inlineStr">
        <is>
          <t>https://de.aliexpress.com/item/1005008607415668.html</t>
        </is>
      </c>
      <c r="I47" s="29" t="n"/>
    </row>
    <row r="48" ht="15" customHeight="1" s="27">
      <c r="A48" s="29" t="n">
        <v>16</v>
      </c>
      <c r="B48" s="29" t="inlineStr">
        <is>
          <t>JST 1,25 4-pol.</t>
        </is>
      </c>
      <c r="C48" s="29" t="inlineStr">
        <is>
          <t>AliExpress</t>
        </is>
      </c>
      <c r="D48" s="29" t="inlineStr">
        <is>
          <t>Micro JST 1,25 Set (ab-Preis)</t>
        </is>
      </c>
      <c r="E48" s="29" t="n">
        <v>1</v>
      </c>
      <c r="F48" s="30" t="n">
        <v>1.49</v>
      </c>
      <c r="G48" s="30">
        <f>E48*F48</f>
        <v/>
      </c>
      <c r="H48" s="32" t="inlineStr">
        <is>
          <t>https://de.aliexpress.com/item/4001171710583.html</t>
        </is>
      </c>
      <c r="I48" s="29" t="inlineStr">
        <is>
          <t>nur falls nicht beim CYD</t>
        </is>
      </c>
    </row>
    <row r="49" ht="15" customHeight="1" s="27">
      <c r="A49" s="29" t="n">
        <v>17</v>
      </c>
      <c r="B49" s="29" t="inlineStr">
        <is>
          <t>microSD-Sniffer</t>
        </is>
      </c>
      <c r="C49" s="29" t="inlineStr">
        <is>
          <t>AliExpress</t>
        </is>
      </c>
      <c r="D49" s="29" t="inlineStr">
        <is>
          <t>NICHT BESTELLEN – passt nicht</t>
        </is>
      </c>
      <c r="E49" s="29" t="n">
        <v>0</v>
      </c>
      <c r="F49" s="30" t="n">
        <v>0</v>
      </c>
      <c r="G49" s="30">
        <f>E49*F49</f>
        <v/>
      </c>
      <c r="H49" s="32" t="inlineStr">
        <is>
          <t>https://de.aliexpress.com/item/1005009886368149.html</t>
        </is>
      </c>
      <c r="I49" s="29" t="inlineStr">
        <is>
          <t>nicht bestellen, passt nicht. SD-Slot zeigt zur Frontwand (nur ca. 3,5 mm Luft); Sniffer würde ca. 35–40 mm herausstehen. GPIO18/19/23 direkt an den SD-Slot löten.</t>
        </is>
      </c>
    </row>
    <row r="50" ht="15" customHeight="1" s="27">
      <c r="A50" s="29" t="n">
        <v>5</v>
      </c>
      <c r="B50" s="29" t="inlineStr">
        <is>
          <t>P-MOSFET</t>
        </is>
      </c>
      <c r="C50" s="29" t="inlineStr">
        <is>
          <t>Reichelt</t>
        </is>
      </c>
      <c r="D50" s="29" t="inlineStr">
        <is>
          <t>AO3401A SOT-23</t>
        </is>
      </c>
      <c r="E50" s="29" t="n">
        <v>2</v>
      </c>
      <c r="F50" s="30" t="n">
        <v>0.17</v>
      </c>
      <c r="G50" s="30">
        <f>E50*F50</f>
        <v/>
      </c>
      <c r="H50" s="32" t="inlineStr">
        <is>
          <t>https://www.reichelt.de/de/de/shop/produkt/mosfet_p-ch_-30v_-4a_0_041r_sot-23-166486</t>
        </is>
      </c>
      <c r="I50" s="29" t="inlineStr">
        <is>
          <t>Q1 LED-Strom + Q2 Akku-Schalter (V4); Berrybase hat keinen P-MOSFET</t>
        </is>
      </c>
    </row>
    <row r="51" ht="15" customHeight="1" s="27">
      <c r="A51" s="29" t="n">
        <v>6</v>
      </c>
      <c r="B51" s="29" t="inlineStr">
        <is>
          <t>LiPo</t>
        </is>
      </c>
      <c r="C51" s="29" t="inlineStr">
        <is>
          <t>Amazon</t>
        </is>
      </c>
      <c r="D51" s="29" t="inlineStr">
        <is>
          <t>EEMB LP103454</t>
        </is>
      </c>
      <c r="E51" s="29" t="n">
        <v>1</v>
      </c>
      <c r="F51" s="30" t="n">
        <v>10.99</v>
      </c>
      <c r="G51" s="30">
        <f>E51*F51</f>
        <v/>
      </c>
      <c r="H51" s="32" t="inlineStr">
        <is>
          <t>https://www.amazon.de/dp/B08214DJLJ</t>
        </is>
      </c>
      <c r="I51" s="29" t="n"/>
    </row>
    <row r="52" ht="15" customHeight="1" s="27">
      <c r="A52" s="29" t="n">
        <v>13</v>
      </c>
      <c r="B52" s="29" t="inlineStr">
        <is>
          <t>Silikonmatte</t>
        </is>
      </c>
      <c r="C52" s="29" t="inlineStr">
        <is>
          <t>Amazon</t>
        </is>
      </c>
      <c r="D52" s="29" t="inlineStr">
        <is>
          <t>FICOFISE 40×30 cm</t>
        </is>
      </c>
      <c r="E52" s="29" t="n">
        <v>1</v>
      </c>
      <c r="F52" s="30" t="n">
        <v>7.59</v>
      </c>
      <c r="G52" s="30">
        <f>E52*F52</f>
        <v/>
      </c>
      <c r="H52" s="32" t="inlineStr">
        <is>
          <t>https://www.amazon.de/dp/B0GVNMS4DZ</t>
        </is>
      </c>
      <c r="I52" s="29" t="n"/>
    </row>
    <row r="53" ht="27.75" customHeight="1" s="27">
      <c r="A53" s="29" t="n">
        <v>4</v>
      </c>
      <c r="B53" s="29" t="inlineStr">
        <is>
          <t>Regensensor</t>
        </is>
      </c>
      <c r="C53" s="29" t="inlineStr">
        <is>
          <t>Berrybase</t>
        </is>
      </c>
      <c r="D53" s="29" t="inlineStr">
        <is>
          <t>Regensensor dig./analog</t>
        </is>
      </c>
      <c r="E53" s="29" t="n">
        <v>1</v>
      </c>
      <c r="F53" s="30" t="n">
        <v>1.8</v>
      </c>
      <c r="G53" s="30">
        <f>E53*F53</f>
        <v/>
      </c>
      <c r="H53" s="32" t="inlineStr">
        <is>
          <t>https://www.berrybase.de/regensensor-mit-digitalem-und-analogem-ausgang</t>
        </is>
      </c>
      <c r="I53" s="29" t="inlineStr">
        <is>
          <t>(AliExpress ab 1,59 € – lohnt nicht, Berrybase ohnehin im Korb)</t>
        </is>
      </c>
    </row>
    <row r="54" ht="15" customHeight="1" s="27">
      <c r="A54" s="29" t="n">
        <v>12</v>
      </c>
      <c r="B54" s="29" t="inlineStr">
        <is>
          <t>Füße</t>
        </is>
      </c>
      <c r="C54" s="29" t="inlineStr">
        <is>
          <t>Berrybase</t>
        </is>
      </c>
      <c r="D54" s="29" t="inlineStr">
        <is>
          <t>FIX&amp;FASTEN Ø10×4,5</t>
        </is>
      </c>
      <c r="E54" s="29" t="n">
        <v>4</v>
      </c>
      <c r="F54" s="30" t="n">
        <v>0.15</v>
      </c>
      <c r="G54" s="30">
        <f>E54*F54</f>
        <v/>
      </c>
      <c r="H54" s="32" t="inlineStr">
        <is>
          <t>https://www.berrybase.de/fix-fasten-selbstklebender-fuss-rund-oben-9-5mm-unten-10mm-hoehe-4-5mm-gummi-schwarz</t>
        </is>
      </c>
      <c r="I54" s="29" t="n"/>
    </row>
    <row r="55" ht="15" customHeight="1" s="27">
      <c r="A55" s="29" t="n">
        <v>14</v>
      </c>
      <c r="B55" s="29" t="inlineStr">
        <is>
          <t>Widerstand (Ersatz 10k)</t>
        </is>
      </c>
      <c r="C55" s="29" t="inlineStr">
        <is>
          <t>Berrybase</t>
        </is>
      </c>
      <c r="D55" s="29" t="inlineStr">
        <is>
          <t>Metallschicht 10 kΩ</t>
        </is>
      </c>
      <c r="E55" s="29" t="n">
        <v>2</v>
      </c>
      <c r="F55" s="30" t="n">
        <v>0.05</v>
      </c>
      <c r="G55" s="30">
        <f>E55*F55</f>
        <v/>
      </c>
      <c r="H55" s="32" t="inlineStr">
        <is>
          <t>https://www.berrybase.de/metallschichtwiderstand-10-0-kohm-1-4w-1-0207-axial-durchsteckmontage</t>
        </is>
      </c>
      <c r="I55" s="29" t="n"/>
    </row>
    <row r="56" ht="15" customHeight="1" s="27">
      <c r="A56" s="29" t="n">
        <v>18</v>
      </c>
      <c r="B56" s="29" t="inlineStr">
        <is>
          <t>Schrumpfschlauch</t>
        </is>
      </c>
      <c r="C56" s="29" t="inlineStr">
        <is>
          <t>Berrybase</t>
        </is>
      </c>
      <c r="D56" s="29" t="inlineStr">
        <is>
          <t>Set 100-tlg. schwarz</t>
        </is>
      </c>
      <c r="E56" s="29" t="n">
        <v>1</v>
      </c>
      <c r="F56" s="30" t="n">
        <v>2.8</v>
      </c>
      <c r="G56" s="30">
        <f>E56*F56</f>
        <v/>
      </c>
      <c r="H56" s="32" t="inlineStr">
        <is>
          <t>https://www.berrybase.de/schrumpfschlauch-set-100-teilig-in-sortimentsbox-schwarz</t>
        </is>
      </c>
      <c r="I56" s="29" t="n"/>
    </row>
    <row r="57" ht="15" customHeight="1" s="27">
      <c r="A57" s="29" t="n">
        <v>19</v>
      </c>
      <c r="B57" s="29" t="inlineStr">
        <is>
          <t>Klebeband</t>
        </is>
      </c>
      <c r="C57" s="29" t="inlineStr">
        <is>
          <t>Berrybase</t>
        </is>
      </c>
      <c r="D57" s="29" t="inlineStr">
        <is>
          <t>TESA doppelseitig 12 mm</t>
        </is>
      </c>
      <c r="E57" s="29" t="n">
        <v>1</v>
      </c>
      <c r="F57" s="30" t="n">
        <v>2.9</v>
      </c>
      <c r="G57" s="30">
        <f>E57*F57</f>
        <v/>
      </c>
      <c r="H57" s="32" t="inlineStr">
        <is>
          <t>https://www.berrybase.de/tesa-doppelseitiges-klebeband-10m-x-12mm-transparent-pp-traeger-loesungsmittelfrei</t>
        </is>
      </c>
      <c r="I57" s="29" t="n"/>
    </row>
    <row r="58" ht="15" customHeight="1" s="27">
      <c r="A58" s="29" t="n">
        <v>20</v>
      </c>
      <c r="B58" s="29" t="inlineStr">
        <is>
          <t>Kabelbinder</t>
        </is>
      </c>
      <c r="C58" s="29" t="inlineStr">
        <is>
          <t>Berrybase</t>
        </is>
      </c>
      <c r="D58" s="29" t="inlineStr">
        <is>
          <t>100×2,5 (100 Stk)</t>
        </is>
      </c>
      <c r="E58" s="29" t="n">
        <v>1</v>
      </c>
      <c r="F58" s="30" t="n">
        <v>0.6</v>
      </c>
      <c r="G58" s="30">
        <f>E58*F58</f>
        <v/>
      </c>
      <c r="H58" s="32" t="inlineStr">
        <is>
          <t>https://www.berrybase.de/kabelbinder-uv-bestaendig-nylon-100-stueck/farbe-transparent/masse-100x2-5mm</t>
        </is>
      </c>
      <c r="I58" s="29" t="n"/>
    </row>
    <row r="59" ht="15" customHeight="1" s="27">
      <c r="A59" s="29" t="n">
        <v>24</v>
      </c>
      <c r="B59" s="29" t="inlineStr">
        <is>
          <t>Treiber-Transistor</t>
        </is>
      </c>
      <c r="C59" s="29" t="inlineStr">
        <is>
          <t>Berrybase</t>
        </is>
      </c>
      <c r="D59" s="29" t="inlineStr">
        <is>
          <t>BC547B NPN TO-92</t>
        </is>
      </c>
      <c r="E59" s="29" t="n">
        <v>1</v>
      </c>
      <c r="F59" s="30" t="n">
        <v>0.17</v>
      </c>
      <c r="G59" s="30">
        <f>E59*F59</f>
        <v/>
      </c>
      <c r="H59" s="32" t="inlineStr">
        <is>
          <t>https://www.berrybase.de/bc547b-bipolarer-transistor-npn-45v-100ma-to-92-3-pin</t>
        </is>
      </c>
      <c r="I59" s="29" t="inlineStr">
        <is>
          <t>schaltet das Gate von Q1 (GPIO18 → 4,7 kΩ → Basis)</t>
        </is>
      </c>
    </row>
    <row r="60" ht="15" customHeight="1" s="27">
      <c r="A60" s="29" t="n">
        <v>25</v>
      </c>
      <c r="B60" s="29" t="inlineStr">
        <is>
          <t>Widerstand 470 Ω</t>
        </is>
      </c>
      <c r="C60" s="29" t="inlineStr">
        <is>
          <t>Berrybase</t>
        </is>
      </c>
      <c r="D60" s="29" t="inlineStr">
        <is>
          <t>Metallschicht 470 Ω</t>
        </is>
      </c>
      <c r="E60" s="29" t="n">
        <v>1</v>
      </c>
      <c r="F60" s="30" t="n">
        <v>0.05</v>
      </c>
      <c r="G60" s="30">
        <f>E60*F60</f>
        <v/>
      </c>
      <c r="H60" s="32" t="inlineStr">
        <is>
          <t>https://www.berrybase.de/metallschichtwiderstand-470-0-ohm-1-4w-1-0207-axial-durchsteckmontage</t>
        </is>
      </c>
      <c r="I60" s="29" t="inlineStr">
        <is>
          <t>in DIN direkt am LED-Streifen</t>
        </is>
      </c>
    </row>
    <row r="61" ht="15" customHeight="1" s="27">
      <c r="A61" s="29" t="n">
        <v>26</v>
      </c>
      <c r="B61" s="29" t="inlineStr">
        <is>
          <t>Widerstand 4,7 kΩ</t>
        </is>
      </c>
      <c r="C61" s="29" t="inlineStr">
        <is>
          <t>Berrybase</t>
        </is>
      </c>
      <c r="D61" s="29" t="inlineStr">
        <is>
          <t>Metallschicht 4,7 kΩ</t>
        </is>
      </c>
      <c r="E61" s="29" t="n">
        <v>1</v>
      </c>
      <c r="F61" s="30" t="n">
        <v>0.06</v>
      </c>
      <c r="G61" s="30">
        <f>E61*F61</f>
        <v/>
      </c>
      <c r="H61" s="32" t="inlineStr">
        <is>
          <t>https://www.berrybase.de/metallschichtwiderstand-4-7-kohm-1-4w-1-0207-axial-durchsteckmontage</t>
        </is>
      </c>
      <c r="I61" s="29" t="inlineStr">
        <is>
          <t>GPIO18 → Basis BC547B</t>
        </is>
      </c>
    </row>
    <row r="62" ht="15" customHeight="1" s="27">
      <c r="A62" s="29" t="n">
        <v>27</v>
      </c>
      <c r="B62" s="29" t="inlineStr">
        <is>
          <t>Widerstand 47 kΩ</t>
        </is>
      </c>
      <c r="C62" s="29" t="inlineStr">
        <is>
          <t>Berrybase</t>
        </is>
      </c>
      <c r="D62" s="29" t="inlineStr">
        <is>
          <t>Metallschicht 47 kΩ</t>
        </is>
      </c>
      <c r="E62" s="29" t="n">
        <v>2</v>
      </c>
      <c r="F62" s="30" t="n">
        <v>0.05</v>
      </c>
      <c r="G62" s="30">
        <f>E62*F62</f>
        <v/>
      </c>
      <c r="H62" s="32" t="inlineStr">
        <is>
          <t>https://www.berrybase.de/metallschichtwiderstand-47-0-kohm-1-4w-1-0207-axial-durchsteckmontage</t>
        </is>
      </c>
      <c r="I62" s="29" t="inlineStr">
        <is>
          <t>Basis→GND und Gate→Source Q2</t>
        </is>
      </c>
    </row>
    <row r="63" ht="15" customHeight="1" s="27">
      <c r="A63" s="29" t="n">
        <v>28</v>
      </c>
      <c r="B63" s="29" t="inlineStr">
        <is>
          <t>Widerstand 10 kΩ (Gate Q1)</t>
        </is>
      </c>
      <c r="C63" s="29" t="inlineStr">
        <is>
          <t>Berrybase</t>
        </is>
      </c>
      <c r="D63" s="29" t="inlineStr">
        <is>
          <t>Metallschicht 10 kΩ</t>
        </is>
      </c>
      <c r="E63" s="29" t="n">
        <v>1</v>
      </c>
      <c r="F63" s="30" t="n">
        <v>0.05</v>
      </c>
      <c r="G63" s="30">
        <f>E63*F63</f>
        <v/>
      </c>
      <c r="H63" s="32" t="inlineStr">
        <is>
          <t>https://www.berrybase.de/metallschichtwiderstand-10-0-kohm-1-4w-1-0207-axial-durchsteckmontage</t>
        </is>
      </c>
      <c r="I63" s="29" t="inlineStr">
        <is>
          <t>Gate→Source Q1; zusätzlich zu den 2 Stk. für den Akku-Teiler</t>
        </is>
      </c>
    </row>
    <row r="64" ht="15" customHeight="1" s="27">
      <c r="A64" s="29" t="n">
        <v>29</v>
      </c>
      <c r="B64" s="29" t="inlineStr">
        <is>
          <t>SOT-23-Adapter</t>
        </is>
      </c>
      <c r="C64" s="29" t="inlineStr">
        <is>
          <t>Berrybase</t>
        </is>
      </c>
      <c r="D64" s="29" t="inlineStr">
        <is>
          <t>SMD-Adapter SOT23/SSOP10</t>
        </is>
      </c>
      <c r="E64" s="29" t="n">
        <v>2</v>
      </c>
      <c r="F64" s="30" t="n">
        <v>0.32</v>
      </c>
      <c r="G64" s="30">
        <f>E64*F64</f>
        <v/>
      </c>
      <c r="H64" s="32" t="inlineStr">
        <is>
          <t>https://www.berrybase.de/smd-breakout-adapter-fuer-sot23-ssop10-msop10-10-pin-0-50mm-0-95mm</t>
        </is>
      </c>
      <c r="I64" s="29" t="inlineStr">
        <is>
          <t>je ein AO3401A darauf löten; ohne Stiftleiste geliefert</t>
        </is>
      </c>
    </row>
    <row r="65" ht="15" customHeight="1" s="27">
      <c r="A65" s="29" t="n">
        <v>30</v>
      </c>
      <c r="B65" s="29" t="inlineStr">
        <is>
          <t>Stiftleiste</t>
        </is>
      </c>
      <c r="C65" s="29" t="inlineStr">
        <is>
          <t>Berrybase</t>
        </is>
      </c>
      <c r="D65" s="29" t="inlineStr">
        <is>
          <t>Stiftleiste 1×20 RM 2,54</t>
        </is>
      </c>
      <c r="E65" s="29" t="n">
        <v>1</v>
      </c>
      <c r="F65" s="30" t="n">
        <v>0.2</v>
      </c>
      <c r="G65" s="30">
        <f>E65*F65</f>
        <v/>
      </c>
      <c r="H65" s="32" t="inlineStr">
        <is>
          <t>https://www.berrybase.de/stiftleiste-1x-20-polig-rm-2-54-gerade</t>
        </is>
      </c>
      <c r="I65" s="29" t="inlineStr">
        <is>
          <t>für die 2 SOT-23-Adapter</t>
        </is>
      </c>
    </row>
    <row r="66" ht="15" customHeight="1" s="27">
      <c r="A66" s="29" t="n">
        <v>31</v>
      </c>
      <c r="B66" s="29" t="inlineStr">
        <is>
          <t>Elko 470 µF</t>
        </is>
      </c>
      <c r="C66" s="29" t="inlineStr">
        <is>
          <t>Berrybase</t>
        </is>
      </c>
      <c r="D66" s="29" t="inlineStr">
        <is>
          <t>Elko 470 µF 25 V</t>
        </is>
      </c>
      <c r="E66" s="29" t="n">
        <v>1</v>
      </c>
      <c r="F66" s="30" t="n">
        <v>0.1</v>
      </c>
      <c r="G66" s="30">
        <f>E66*F66</f>
        <v/>
      </c>
      <c r="H66" s="32" t="inlineStr">
        <is>
          <t>https://www.berrybase.de/elektrolytkondensator-470-f-25v-1050c-1-radial-tht</t>
        </is>
      </c>
      <c r="I66" s="29" t="inlineStr">
        <is>
          <t>5 V → GND vor Q1, liegt auf der FET-Platine</t>
        </is>
      </c>
    </row>
    <row r="67" ht="15" customHeight="1" s="27">
      <c r="A67" s="29" t="n">
        <v>32</v>
      </c>
      <c r="B67" s="29" t="inlineStr">
        <is>
          <t>Lochrasterplatine</t>
        </is>
      </c>
      <c r="C67" s="29" t="inlineStr">
        <is>
          <t>Berrybase</t>
        </is>
      </c>
      <c r="D67" s="29" t="inlineStr">
        <is>
          <t>Lochraster einseitig</t>
        </is>
      </c>
      <c r="E67" s="29" t="n">
        <v>1</v>
      </c>
      <c r="F67" s="30" t="n">
        <v>1.1</v>
      </c>
      <c r="G67" s="30">
        <f>E67*F67</f>
        <v/>
      </c>
      <c r="H67" s="32" t="inlineStr">
        <is>
          <t>https://www.berrybase.de/lochrasterplatine-9x15cm-mit-einseitiger-kupferauflage</t>
        </is>
      </c>
      <c r="I67" s="29" t="inlineStr">
        <is>
          <t>auf 30 × 24,5 mm zuschneiden; 5 × 7 cm (0,30 €) nicht lieferbar</t>
        </is>
      </c>
    </row>
    <row r="68" ht="15" customHeight="1" s="27">
      <c r="A68" s="29" t="n">
        <v>33</v>
      </c>
      <c r="B68" s="29" t="inlineStr">
        <is>
          <t>Ein/Aus-Schalter</t>
        </is>
      </c>
      <c r="C68" s="29" t="inlineStr">
        <is>
          <t>Berrybase</t>
        </is>
      </c>
      <c r="D68" s="29" t="inlineStr">
        <is>
          <t>Schiebeschalter C&amp;K OS102011MS2QN1</t>
        </is>
      </c>
      <c r="E68" s="29" t="n">
        <v>1</v>
      </c>
      <c r="F68" s="30" t="n">
        <v>0.7</v>
      </c>
      <c r="G68" s="30">
        <f>E68*F68</f>
        <v/>
      </c>
      <c r="H68" s="32" t="inlineStr">
        <is>
          <t>https://www.berrybase.de/schiebeschalter-printmontage-on-on-2-stellig-8.6x4.3x4mm-gerade</t>
        </is>
      </c>
      <c r="I68" s="29" t="inlineStr">
        <is>
          <t>schaltet nur das Gate von Q2 (ca. 0,08 mA, Schalter 0,1 A)</t>
        </is>
      </c>
    </row>
    <row r="69" ht="15" customHeight="1" s="27">
      <c r="A69" s="29" t="n">
        <v>9</v>
      </c>
      <c r="B69" s="29" t="inlineStr">
        <is>
          <t>M3×12</t>
        </is>
      </c>
      <c r="C69" s="29" t="inlineStr">
        <is>
          <t>alleschrauben.de</t>
        </is>
      </c>
      <c r="D69" s="29" t="inlineStr">
        <is>
          <t>DIN 7991 A2 (10 Stk)</t>
        </is>
      </c>
      <c r="E69" s="29" t="n">
        <v>10</v>
      </c>
      <c r="F69" s="30" t="n">
        <v>0.25</v>
      </c>
      <c r="G69" s="30">
        <f>E69*F69</f>
        <v/>
      </c>
      <c r="H69" s="32" t="inlineStr">
        <is>
          <t>https://alleschrauben.de/Schrauben/Senkkopf/Senkkopfschrauben-DIN-7991/Senkkopfschrauben-M3x12-mit-Innensechskant-DIN-7991-Edelstahl-A2</t>
        </is>
      </c>
      <c r="I69" s="29" t="n"/>
    </row>
    <row r="70" ht="15" customHeight="1" s="27">
      <c r="A70" s="29" t="n">
        <v>10</v>
      </c>
      <c r="B70" s="29" t="inlineStr">
        <is>
          <t>M4×10</t>
        </is>
      </c>
      <c r="C70" s="29" t="inlineStr">
        <is>
          <t>alleschrauben.de</t>
        </is>
      </c>
      <c r="D70" s="29" t="inlineStr">
        <is>
          <t>DIN 7991 A2</t>
        </is>
      </c>
      <c r="E70" s="29" t="n">
        <v>2</v>
      </c>
      <c r="F70" s="30" t="n">
        <v>0.5600000000000001</v>
      </c>
      <c r="G70" s="30">
        <f>E70*F70</f>
        <v/>
      </c>
      <c r="H70" s="32" t="inlineStr">
        <is>
          <t>https://alleschrauben.de/Schrauben/Senkkopf/Senkkopfschrauben-DIN-7991/Senkkopfschrauben-M4x10-mit-Innensechskant-DIN-7991-Edelstahl-A2</t>
        </is>
      </c>
      <c r="I70" s="29" t="n"/>
    </row>
    <row r="71" ht="15" customHeight="1" s="27">
      <c r="A71" s="29" t="n">
        <v>11</v>
      </c>
      <c r="B71" s="29" t="inlineStr">
        <is>
          <t>M5×12</t>
        </is>
      </c>
      <c r="C71" s="29" t="inlineStr">
        <is>
          <t>alleschrauben.de</t>
        </is>
      </c>
      <c r="D71" s="29" t="inlineStr">
        <is>
          <t>DIN 7991 A2</t>
        </is>
      </c>
      <c r="E71" s="29" t="n">
        <v>2</v>
      </c>
      <c r="F71" s="30" t="n">
        <v>0.62</v>
      </c>
      <c r="G71" s="30">
        <f>E71*F71</f>
        <v/>
      </c>
      <c r="H71" s="32" t="inlineStr">
        <is>
          <t>https://alleschrauben.de/Schrauben/Senkkopf/Senkkopfschrauben-DIN-7991/Senkkopfschrauben-M5x12-mit-Innensechskant-DIN-7991-Edelstahl-A2</t>
        </is>
      </c>
      <c r="I71" s="29" t="n"/>
    </row>
    <row r="72" ht="15" customHeight="1" s="27"/>
    <row r="73" ht="15" customHeight="1" s="27">
      <c r="A73" s="42" t="inlineStr">
        <is>
          <t>Shop</t>
        </is>
      </c>
      <c r="D73" s="42" t="inlineStr">
        <is>
          <t>Warenwert €</t>
        </is>
      </c>
      <c r="F73" s="42" t="inlineStr">
        <is>
          <t>Versand €</t>
        </is>
      </c>
      <c r="G73" s="42" t="inlineStr">
        <is>
          <t>Shop gesamt €</t>
        </is>
      </c>
      <c r="H73" s="42" t="inlineStr">
        <is>
          <t>Versand-Hinweis</t>
        </is>
      </c>
    </row>
    <row r="74" ht="15" customHeight="1" s="27">
      <c r="A74" s="44" t="inlineStr">
        <is>
          <t>AliExpress</t>
        </is>
      </c>
      <c r="B74" s="44" t="n"/>
      <c r="C74" s="44" t="n"/>
      <c r="D74" s="45">
        <f>SUMIF($C$42:$C$71,A74,$G$42:$G$71)</f>
        <v/>
      </c>
      <c r="E74" s="44" t="n"/>
      <c r="F74" s="45" t="n">
        <v>0</v>
      </c>
      <c r="G74" s="45">
        <f>D74+N(F74)</f>
        <v/>
      </c>
      <c r="H74" s="44" t="inlineStr">
        <is>
          <t>CYD lt. Liste versandfrei, Choice-Artikel frei ab 10 €; COB-Streifen und übrige Artikel: Versand nicht lesbar</t>
        </is>
      </c>
      <c r="I74" s="44" t="n"/>
    </row>
    <row r="75" ht="15" customHeight="1" s="27">
      <c r="A75" s="44" t="inlineStr">
        <is>
          <t>Amazon</t>
        </is>
      </c>
      <c r="B75" s="44" t="n"/>
      <c r="C75" s="44" t="n"/>
      <c r="D75" s="45">
        <f>SUMIF($C$42:$C$71,A75,$G$42:$G$71)</f>
        <v/>
      </c>
      <c r="E75" s="44" t="n"/>
      <c r="F75" s="45">
        <f>IF(D75&gt;=49,0,3.99)</f>
        <v/>
      </c>
      <c r="G75" s="45">
        <f>D75+N(F75)</f>
        <v/>
      </c>
      <c r="H75" s="44" t="inlineStr">
        <is>
          <t>unter 49 € → 3,99 € (Packstation 1,99 €)</t>
        </is>
      </c>
      <c r="I75" s="44" t="n"/>
    </row>
    <row r="76" ht="15" customHeight="1" s="27">
      <c r="A76" s="44" t="inlineStr">
        <is>
          <t>Berrybase</t>
        </is>
      </c>
      <c r="B76" s="44" t="n"/>
      <c r="C76" s="44" t="n"/>
      <c r="D76" s="45">
        <f>SUMIF($C$42:$C$71,A76,$G$42:$G$71)</f>
        <v/>
      </c>
      <c r="E76" s="44" t="n"/>
      <c r="F76" s="45">
        <f>IF(D76&gt;=150,0,4.95)</f>
        <v/>
      </c>
      <c r="G76" s="45">
        <f>D76+N(F76)</f>
        <v/>
      </c>
      <c r="H76" s="44" t="inlineStr">
        <is>
          <t>DHL</t>
        </is>
      </c>
      <c r="I76" s="44" t="n"/>
    </row>
    <row r="77" ht="15" customHeight="1" s="27">
      <c r="A77" s="44" t="inlineStr">
        <is>
          <t>Reichelt</t>
        </is>
      </c>
      <c r="B77" s="44" t="n"/>
      <c r="C77" s="44" t="n"/>
      <c r="D77" s="45">
        <f>SUMIF($C$42:$C$71,A77,$G$42:$G$71)</f>
        <v/>
      </c>
      <c r="E77" s="44" t="n"/>
      <c r="F77" s="45">
        <f>IF(D77&gt;0,5.95,0)</f>
        <v/>
      </c>
      <c r="G77" s="45">
        <f>D77+N(F77)</f>
        <v/>
      </c>
      <c r="H77" s="44" t="inlineStr">
        <is>
          <t>Versandkosten ab 5,95 € (Reichelt-Produktseite, 09.10.2026)</t>
        </is>
      </c>
      <c r="I77" s="44" t="n"/>
    </row>
    <row r="78" ht="15" customHeight="1" s="27">
      <c r="A78" s="44" t="inlineStr">
        <is>
          <t>alleschrauben.de</t>
        </is>
      </c>
      <c r="B78" s="44" t="n"/>
      <c r="C78" s="44" t="n"/>
      <c r="D78" s="45">
        <f>SUMIF($C$42:$C$71,A78,$G$42:$G$71)</f>
        <v/>
      </c>
      <c r="E78" s="44" t="n"/>
      <c r="F78" s="45" t="n"/>
      <c r="G78" s="45">
        <f>D78+N(F78)</f>
        <v/>
      </c>
      <c r="H78" s="44" t="inlineStr">
        <is>
          <t>Versand nicht lesbar (frei ab 79 €)</t>
        </is>
      </c>
      <c r="I78" s="44" t="n"/>
    </row>
    <row r="79" ht="15" customHeight="1" s="27">
      <c r="A79" s="46" t="inlineStr">
        <is>
          <t>GESAMT inkl. Versand</t>
        </is>
      </c>
      <c r="B79" s="47" t="n"/>
      <c r="C79" s="47" t="n"/>
      <c r="D79" s="48">
        <f>SUM(D74:D78)</f>
        <v/>
      </c>
      <c r="E79" s="47" t="n"/>
      <c r="F79" s="48">
        <f>SUM(F74:F78)</f>
        <v/>
      </c>
      <c r="G79" s="49">
        <f>SUM(G74:G78)</f>
        <v/>
      </c>
      <c r="H79" s="47" t="inlineStr">
        <is>
          <t>+ Versand alleschrauben.de (nicht lesbar)</t>
        </is>
      </c>
      <c r="I79" s="47" t="n"/>
    </row>
    <row r="81" ht="15" customHeight="1" s="27"/>
    <row r="82" ht="15" customHeight="1" s="27">
      <c r="A82" s="42" t="inlineStr">
        <is>
          <t>Optional (nicht in den Summen):</t>
        </is>
      </c>
    </row>
    <row r="83" ht="15" customHeight="1" s="27">
      <c r="D83" s="26" t="inlineStr">
        <is>
          <t>JST-PH-2.0-Verlängerung 2-pol. (Berrybase)</t>
        </is>
      </c>
      <c r="G83" s="50" t="n">
        <v>0.9</v>
      </c>
      <c r="H83" s="26" t="inlineStr">
        <is>
          <t>https://www.berrybase.de/verlaengerungskabel-2-pin-jst-ph-2.0mm-stecker-buchse-awg24-50cm</t>
        </is>
      </c>
    </row>
    <row r="84" ht="15" customHeight="1" s="27">
      <c r="D84" s="26" t="inlineStr">
        <is>
          <t>PLA SUNLU 1 kg (Amazon) – nur falls Schule kein PLA stellt</t>
        </is>
      </c>
      <c r="G84" s="50" t="n">
        <v>14.99</v>
      </c>
      <c r="H84" s="26" t="inlineStr">
        <is>
          <t>https://www.amazon.de/dp/B0BTHSVQ89</t>
        </is>
      </c>
    </row>
    <row r="85" ht="15" customHeight="1" s="27">
      <c r="D85" s="26" t="inlineStr">
        <is>
          <t>ELEGOO Jumper-Kabel 120 Stk (Amazon) – nur Prototyp</t>
        </is>
      </c>
      <c r="G85" s="50" t="n">
        <v>6.99</v>
      </c>
      <c r="H85" s="26" t="inlineStr">
        <is>
          <t>https://www.amazon.de/dp/B01EV70C78</t>
        </is>
      </c>
    </row>
    <row r="86" ht="15" customHeight="1" s="27">
      <c r="D86" s="26" t="inlineStr">
        <is>
          <t>Pololu S13V20F5 5 V 2 A (Berrybase) – mehr Reserve statt S13V10F5</t>
        </is>
      </c>
      <c r="G86" s="50" t="n">
        <v>17.95</v>
      </c>
      <c r="H86" s="26" t="inlineStr">
        <is>
          <t>https://www.berrybase.de/pololu-s13v20f5-5v-2a-step-up-step-down-spannungsregler</t>
        </is>
      </c>
    </row>
    <row r="87" ht="15" customHeight="1" s="27">
      <c r="D87" s="26" t="inlineStr">
        <is>
          <t>Reichelt 100 kΩ (2 Stk à 0,09 €) – Originalwert für den Akku-Teiler; da jetzt ohnehin bei Reichelt bestellt wird (AO3401A), ohne Extra-Versand mitbestellbar → Teiler-Strom ca. 0,2 → 0,02 mA (Stromsparplan H4)</t>
        </is>
      </c>
      <c r="G87" s="50" t="n">
        <v>0.18</v>
      </c>
      <c r="H87" s="26" t="inlineStr">
        <is>
          <t>https://www.reichelt.de/de/de/shop/produkt/widerstand_metallschicht_100_kohm_0207_0_6_w_1_-11458</t>
        </is>
      </c>
    </row>
    <row r="88" ht="15" customHeight="1" s="27"/>
    <row r="89" ht="15" customHeight="1" s="27">
      <c r="A89" s="51" t="inlineStr">
        <is>
          <t>Nicht ermittelbar: Versandkosten alleschrauben.de; AliExpress-Preise der exakten Varianten; JST-1,25-4-pol.-Kabel in DE-Shops nicht gefunden. microSD-Sniffer: nicht bestellen, passt nicht (SD-Slot→Front, 3,5 mm Luft; Sniffer ~35–40 mm) — GPIO18/19/23 direkt an den SD-Slot löten.</t>
        </is>
      </c>
    </row>
  </sheetData>
  <hyperlinks>
    <hyperlink xmlns:r="http://schemas.openxmlformats.org/officeDocument/2006/relationships" ref="H3" display="https://www.amazon.de/dp/B0G1N16Q16" r:id="rId1"/>
    <hyperlink xmlns:r="http://schemas.openxmlformats.org/officeDocument/2006/relationships" ref="H4" display="https://www.amazon.de/dp/B0B9H3YMT2" r:id="rId2"/>
    <hyperlink xmlns:r="http://schemas.openxmlformats.org/officeDocument/2006/relationships" ref="H5" display="https://www.amazon.de/dp/B0H41MCVSW" r:id="rId3"/>
    <hyperlink xmlns:r="http://schemas.openxmlformats.org/officeDocument/2006/relationships" ref="H6" display="https://www.reichelt.de/de/de/shop/produkt/mosfet_p-ch_-30v_-4a_0_041r_sot-23-166486" r:id="rId4"/>
    <hyperlink xmlns:r="http://schemas.openxmlformats.org/officeDocument/2006/relationships" ref="H7" display="https://www.amazon.de/dp/B08214DJLJ" r:id="rId5"/>
    <hyperlink xmlns:r="http://schemas.openxmlformats.org/officeDocument/2006/relationships" ref="H8" display="https://www.amazon.de/dp/B0F67KYB4F" r:id="rId6"/>
    <hyperlink xmlns:r="http://schemas.openxmlformats.org/officeDocument/2006/relationships" ref="H9" display="https://www.amazon.de/dp/B0GVNMS4DZ" r:id="rId7"/>
    <hyperlink xmlns:r="http://schemas.openxmlformats.org/officeDocument/2006/relationships" ref="H10" display="https://www.berrybase.de/regensensor-mit-digitalem-und-analogem-ausgang" r:id="rId8"/>
    <hyperlink xmlns:r="http://schemas.openxmlformats.org/officeDocument/2006/relationships" ref="H11" display="https://www.berrybase.de/pololu-s13v10f5-5v-1a-step-up-step-down-converter" r:id="rId9"/>
    <hyperlink xmlns:r="http://schemas.openxmlformats.org/officeDocument/2006/relationships" ref="H12" display="https://www.berrybase.de/fix-fasten-selbstklebender-fuss-rund-oben-9-5mm-unten-10mm-hoehe-4-5mm-gummi-schwarz" r:id="rId10"/>
    <hyperlink xmlns:r="http://schemas.openxmlformats.org/officeDocument/2006/relationships" ref="H13" display="https://www.berrybase.de/metallschichtwiderstand-10-0-kohm-1-4w-1-0207-axial-durchsteckmontage" r:id="rId11"/>
    <hyperlink xmlns:r="http://schemas.openxmlformats.org/officeDocument/2006/relationships" ref="H14" display="https://www.berrybase.de/vierlingslitze-isoliert-4x0-14mm-5m-farbe-blau-gelb-rot-gruen" r:id="rId12"/>
    <hyperlink xmlns:r="http://schemas.openxmlformats.org/officeDocument/2006/relationships" ref="H15" display="https://www.berrybase.de/schrumpfschlauch-set-100-teilig-in-sortimentsbox-schwarz" r:id="rId13"/>
    <hyperlink xmlns:r="http://schemas.openxmlformats.org/officeDocument/2006/relationships" ref="H16" display="https://www.berrybase.de/tesa-doppelseitiges-klebeband-10m-x-12mm-transparent-pp-traeger-loesungsmittelfrei" r:id="rId14"/>
    <hyperlink xmlns:r="http://schemas.openxmlformats.org/officeDocument/2006/relationships" ref="H17" display="https://www.berrybase.de/kabelbinder-uv-bestaendig-nylon-100-stueck/farbe-transparent/masse-100x2-5mm" r:id="rId15"/>
    <hyperlink xmlns:r="http://schemas.openxmlformats.org/officeDocument/2006/relationships" ref="H18" display="https://www.berrybase.de/bc547b-bipolarer-transistor-npn-45v-100ma-to-92-3-pin" r:id="rId16"/>
    <hyperlink xmlns:r="http://schemas.openxmlformats.org/officeDocument/2006/relationships" ref="H19" display="https://www.berrybase.de/metallschichtwiderstand-470-0-ohm-1-4w-1-0207-axial-durchsteckmontage" r:id="rId17"/>
    <hyperlink xmlns:r="http://schemas.openxmlformats.org/officeDocument/2006/relationships" ref="H20" display="https://www.berrybase.de/metallschichtwiderstand-4-7-kohm-1-4w-1-0207-axial-durchsteckmontage" r:id="rId18"/>
    <hyperlink xmlns:r="http://schemas.openxmlformats.org/officeDocument/2006/relationships" ref="H31" display="https://de.aliexpress.com/item/1005009535167188.html" r:id="rId19"/>
    <hyperlink xmlns:r="http://schemas.openxmlformats.org/officeDocument/2006/relationships" ref="H32" display="Versand-Hinweis" r:id="rId20"/>
    <hyperlink xmlns:r="http://schemas.openxmlformats.org/officeDocument/2006/relationships" ref="H33" display="frei ab 49 € nur bei 'Versand durch Amazon' – im Warenkorb prüfen" r:id="rId21"/>
    <hyperlink xmlns:r="http://schemas.openxmlformats.org/officeDocument/2006/relationships" ref="H34" display="DHL" r:id="rId22"/>
    <hyperlink xmlns:r="http://schemas.openxmlformats.org/officeDocument/2006/relationships" ref="H35" display="Versandkosten ab 5,95 € (Reichelt-Produktseite, 09.10.2026)" r:id="rId23"/>
    <hyperlink xmlns:r="http://schemas.openxmlformats.org/officeDocument/2006/relationships" ref="H36" display="Versand nicht lesbar (frei ab 79 €)" r:id="rId24"/>
    <hyperlink xmlns:r="http://schemas.openxmlformats.org/officeDocument/2006/relationships" ref="H37" display="+ Versand alleschrauben.de (nicht lesbar)" r:id="rId25"/>
    <hyperlink xmlns:r="http://schemas.openxmlformats.org/officeDocument/2006/relationships" ref="H38" display="https://de.aliexpress.com/item/1005009886368149.html" r:id="rId26"/>
    <hyperlink xmlns:r="http://schemas.openxmlformats.org/officeDocument/2006/relationships" ref="H39" display="https://www.amazon.de/dp/B0DG8B58PM" r:id="rId27"/>
    <hyperlink xmlns:r="http://schemas.openxmlformats.org/officeDocument/2006/relationships" ref="H40" display="https://www.amazon.de/dp/B08214DJLJ" r:id="rId28"/>
    <hyperlink xmlns:r="http://schemas.openxmlformats.org/officeDocument/2006/relationships" ref="H41" display="Link" r:id="rId29"/>
    <hyperlink xmlns:r="http://schemas.openxmlformats.org/officeDocument/2006/relationships" ref="H42" display="https://de.aliexpress.com/item/1005009535167188.html" r:id="rId30"/>
    <hyperlink xmlns:r="http://schemas.openxmlformats.org/officeDocument/2006/relationships" ref="H43" display="https://de.aliexpress.com/item/1005009230467552.html" r:id="rId31"/>
    <hyperlink xmlns:r="http://schemas.openxmlformats.org/officeDocument/2006/relationships" ref="H44" display="https://de.aliexpress.com/item/1005006422072860.html" r:id="rId32"/>
    <hyperlink xmlns:r="http://schemas.openxmlformats.org/officeDocument/2006/relationships" ref="H45" display="https://de.aliexpress.com/item/1005013255677257.html" r:id="rId33"/>
    <hyperlink xmlns:r="http://schemas.openxmlformats.org/officeDocument/2006/relationships" ref="H46" display="https://www.berrybase.de/pololu-s13v10f5-5v-1a-step-up-step-down-converter" r:id="rId34"/>
    <hyperlink xmlns:r="http://schemas.openxmlformats.org/officeDocument/2006/relationships" ref="H47" display="https://de.aliexpress.com/item/1005008607415668.html" r:id="rId35"/>
    <hyperlink xmlns:r="http://schemas.openxmlformats.org/officeDocument/2006/relationships" ref="H48" display="https://de.aliexpress.com/item/4001171710583.html" r:id="rId36"/>
    <hyperlink xmlns:r="http://schemas.openxmlformats.org/officeDocument/2006/relationships" ref="H49" display="https://de.aliexpress.com/item/1005009886368149.html" r:id="rId37"/>
    <hyperlink xmlns:r="http://schemas.openxmlformats.org/officeDocument/2006/relationships" ref="H50" display="https://www.reichelt.de/de/de/shop/produkt/mosfet_p-ch_-30v_-4a_0_041r_sot-23-166486" r:id="rId38"/>
    <hyperlink xmlns:r="http://schemas.openxmlformats.org/officeDocument/2006/relationships" ref="H61" display="https://www.berrybase.de/metallschichtwiderstand-4-7-kohm-1-4w-1-0207-axial-durchsteckmontage" r:id="rId39"/>
    <hyperlink xmlns:r="http://schemas.openxmlformats.org/officeDocument/2006/relationships" ref="H62" display="https://www.berrybase.de/metallschichtwiderstand-47-0-kohm-1-4w-1-0207-axial-durchsteckmontage" r:id="rId40"/>
    <hyperlink xmlns:r="http://schemas.openxmlformats.org/officeDocument/2006/relationships" ref="H63" display="https://www.berrybase.de/metallschichtwiderstand-10-0-kohm-1-4w-1-0207-axial-durchsteckmontage" r:id="rId41"/>
    <hyperlink xmlns:r="http://schemas.openxmlformats.org/officeDocument/2006/relationships" ref="H64" display="https://www.berrybase.de/smd-breakout-adapter-fuer-sot23-ssop10-msop10-10-pin-0-50mm-0-95mm" r:id="rId42"/>
    <hyperlink xmlns:r="http://schemas.openxmlformats.org/officeDocument/2006/relationships" ref="H65" display="https://www.berrybase.de/stiftleiste-1x-20-polig-rm-2-54-gerade" r:id="rId4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6" customWidth="1" style="27" min="1" max="1"/>
    <col width="34" customWidth="1" style="27" min="2" max="2"/>
    <col width="7" customWidth="1" style="27" min="3" max="3"/>
    <col width="44" customWidth="1" style="27" min="4" max="4"/>
    <col width="36" customWidth="1" style="27" min="5" max="5"/>
    <col width="34" customWidth="1" style="27" min="6" max="6"/>
    <col width="9" customWidth="1" style="27" min="7" max="7"/>
    <col width="10" customWidth="1" style="27" min="8" max="8"/>
    <col width="50" customWidth="1" style="27" min="9" max="9"/>
    <col width="60" customWidth="1" style="27" min="10" max="10"/>
  </cols>
  <sheetData>
    <row r="1">
      <c r="A1" s="26" t="inlineStr">
        <is>
          <t>HydroDesk Base V4 – Amazon-Bestellliste, Preise geprüft am 16.10.2026 (amazon.de, Lieferadresse DE)</t>
        </is>
      </c>
    </row>
    <row r="3">
      <c r="A3" s="26" t="inlineStr">
        <is>
          <t>A) Amazon – Pflicht (Versand durch Amazon)</t>
        </is>
      </c>
    </row>
    <row r="4">
      <c r="A4" s="26" t="inlineStr">
        <is>
          <t>Pos</t>
        </is>
      </c>
      <c r="B4" s="26" t="inlineStr">
        <is>
          <t>Teil</t>
        </is>
      </c>
      <c r="C4" s="26" t="inlineStr">
        <is>
          <t>Menge</t>
        </is>
      </c>
      <c r="D4" s="26" t="inlineStr">
        <is>
          <t>Amazon-Titel</t>
        </is>
      </c>
      <c r="E4" s="26" t="inlineStr">
        <is>
          <t>ASIN/Link</t>
        </is>
      </c>
      <c r="F4" s="26" t="inlineStr">
        <is>
          <t>Variante wählen</t>
        </is>
      </c>
      <c r="G4" s="26" t="inlineStr">
        <is>
          <t>Preis</t>
        </is>
      </c>
      <c r="H4" s="26" t="inlineStr">
        <is>
          <t>Packung</t>
        </is>
      </c>
      <c r="I4" s="26" t="inlineStr">
        <is>
          <t>passt weil</t>
        </is>
      </c>
      <c r="J4" s="26" t="inlineStr">
        <is>
          <t>Hinweis</t>
        </is>
      </c>
    </row>
    <row r="5">
      <c r="A5" s="26" t="n">
        <v>1</v>
      </c>
      <c r="B5" s="26" t="inlineStr">
        <is>
          <t>CYD ESP32-2432S028R 2,8"</t>
        </is>
      </c>
      <c r="C5" s="26" t="n">
        <v>1</v>
      </c>
      <c r="D5" s="26" t="inlineStr">
        <is>
          <t>Fastsaw ESP32 Entwicklungsboard 2.8 Inch Touch TFT ILI9341 320x240</t>
        </is>
      </c>
      <c r="E5" s="26" t="inlineStr">
        <is>
          <t>https://www.amazon.de/dp/B0G1N16Q16</t>
        </is>
      </c>
      <c r="F5" s="26" t="inlineStr">
        <is>
          <t>„Colour Name“ 1 oder 2: Bild prüfen, Platine muss „ESP32-2432S028R“ heißen</t>
        </is>
      </c>
      <c r="G5" s="26" t="n">
        <v>17.99</v>
      </c>
      <c r="H5" s="26" t="inlineStr">
        <is>
          <t>1 Stk</t>
        </is>
      </c>
      <c r="I5" s="26" t="inlineStr">
        <is>
          <t>ILI9341 2,8" Touch, 240 MHz, microSD-Slot, USB-C; Versand durch Amazon, auf Lager</t>
        </is>
      </c>
      <c r="J5" s="26" t="inlineStr">
        <is>
          <t>Doku dünn (Rezension); 4-pol. JST-1,25-Kabel evtl. nicht dabei</t>
        </is>
      </c>
    </row>
    <row r="6">
      <c r="A6" s="26" t="n">
        <v>2</v>
      </c>
      <c r="B6" s="26" t="inlineStr">
        <is>
          <t>Wägezelle 5 kg + HX711</t>
        </is>
      </c>
      <c r="C6" s="26" t="n">
        <v>1</v>
      </c>
      <c r="D6" s="26" t="inlineStr">
        <is>
          <t>DIYmalls Wägezelle 5 kg + HX711</t>
        </is>
      </c>
      <c r="E6" s="26" t="inlineStr">
        <is>
          <t>https://www.amazon.de/dp/B0B9H3YMT2</t>
        </is>
      </c>
      <c r="F6" s="26" t="inlineStr">
        <is>
          <t>5 kg</t>
        </is>
      </c>
      <c r="G6" s="26" t="n">
        <v>8.970000000000001</v>
      </c>
      <c r="H6" s="26" t="inlineStr">
        <is>
          <t>1 Satz</t>
        </is>
      </c>
      <c r="I6" s="26" t="inlineStr">
        <is>
          <t>TAL220-Bauform (80×12,7×12,7, M4/M5) wie in der SCAD; Versand durch Amazon</t>
        </is>
      </c>
      <c r="J6" s="26" t="inlineStr">
        <is>
          <t>HX711-Stiftleiste selbst löten</t>
        </is>
      </c>
    </row>
    <row r="7">
      <c r="A7" s="26" t="n">
        <v>3</v>
      </c>
      <c r="B7" s="26" t="inlineStr">
        <is>
          <t>COB-LED-Streifen WS2812B FCOB</t>
        </is>
      </c>
      <c r="C7" s="26" t="n">
        <v>1</v>
      </c>
      <c r="D7" s="26" t="inlineStr">
        <is>
          <t>BTF-LIGHTING WS2812B FCOB 1 m 160 LEDs/m 5 V</t>
        </is>
      </c>
      <c r="E7" s="26" t="inlineStr">
        <is>
          <t>https://www.amazon.de/dp/B0H41MCVSW</t>
        </is>
      </c>
      <c r="F7" s="26" t="inlineStr">
        <is>
          <t>„1M 160LEDs/m 5mm“ (NICHT 180LEDs/10mm, nicht 5M)</t>
        </is>
      </c>
      <c r="G7" s="26" t="n">
        <v>16.99</v>
      </c>
      <c r="H7" s="26" t="inlineStr">
        <is>
          <t>1 m</t>
        </is>
      </c>
      <c r="I7" s="26" t="inlineStr">
        <is>
          <t>5 mm breit, 1 IC/LED, Schnitt alle 12,5 mm → 13 Segmente = 26 LEDs; Versand durch Amazon</t>
        </is>
      </c>
      <c r="J7" s="26" t="inlineStr">
        <is>
          <t>Nur 18 auf Lager; 1 Rezension: Lötstellen schlecht → nach Lieferung prüfen</t>
        </is>
      </c>
    </row>
    <row r="8">
      <c r="A8" s="26" t="n">
        <v>4</v>
      </c>
      <c r="B8" s="26" t="inlineStr">
        <is>
          <t>LiPo EEMB LP103454 2000 mAh</t>
        </is>
      </c>
      <c r="C8" s="26" t="n">
        <v>1</v>
      </c>
      <c r="D8" s="26" t="inlineStr">
        <is>
          <t>EEMB 3,7V 2000mAh LiPo 103454 mit JST2.0-Stecker</t>
        </is>
      </c>
      <c r="E8" s="26" t="inlineStr">
        <is>
          <t>https://www.amazon.de/dp/B08214DJLJ</t>
        </is>
      </c>
      <c r="F8" s="26" t="inlineStr">
        <is>
          <t>1 Stück</t>
        </is>
      </c>
      <c r="G8" s="26" t="n">
        <v>10.99</v>
      </c>
      <c r="H8" s="26" t="inlineStr">
        <is>
          <t>1 Stk</t>
        </is>
      </c>
      <c r="I8" s="26" t="inlineStr">
        <is>
          <t>34,5×56×10,3 mm (Bild: 10,6) passt ins Akkufach; PCM-Schutz (Über-/Tiefentladung, Kurzschluss); JST-PHR-02</t>
        </is>
      </c>
      <c r="J8" s="26" t="inlineStr">
        <is>
          <t>POLARITÄT vor dem Anstecken messen (rot=+ laut Seite, Rezensionen warnen)</t>
        </is>
      </c>
    </row>
    <row r="9">
      <c r="A9" s="26" t="n">
        <v>5</v>
      </c>
      <c r="B9" s="26" t="inlineStr">
        <is>
          <t>TC4056 USB-C Lader</t>
        </is>
      </c>
      <c r="C9" s="26" t="n">
        <v>1</v>
      </c>
      <c r="D9" s="26" t="inlineStr">
        <is>
          <t>Dozylive 10 x TC4056 USB Type C Ladeplatine</t>
        </is>
      </c>
      <c r="E9" s="26" t="inlineStr">
        <is>
          <t>https://www.amazon.de/dp/B0F67KYB4F</t>
        </is>
      </c>
      <c r="F9" s="26" t="inlineStr">
        <is>
          <t>10er Pack</t>
        </is>
      </c>
      <c r="G9" s="26" t="n">
        <v>6.99</v>
      </c>
      <c r="H9" s="26" t="inlineStr">
        <is>
          <t>10 Stk</t>
        </is>
      </c>
      <c r="I9" s="26" t="inlineStr">
        <is>
          <t>4,2 V Ladeschluss, 1 A, Schutz 2,5 V; 10 Stück = Reserve</t>
        </is>
      </c>
      <c r="J9" s="26" t="inlineStr">
        <is>
          <t>Länge nicht angegeben: Fach 26 mm → nachmessen; ohne CC-Widerstände lädt er nur mit USB-A→C-Kabel</t>
        </is>
      </c>
    </row>
    <row r="10">
      <c r="A10" s="26" t="n">
        <v>6</v>
      </c>
      <c r="B10" s="26" t="inlineStr">
        <is>
          <t>Gummifüße Ø12</t>
        </is>
      </c>
      <c r="C10" s="26" t="n">
        <v>4</v>
      </c>
      <c r="D10" s="26" t="inlineStr">
        <is>
          <t>InLine Gummipads selbstklebend 12 mm schwarz, 20 Stück</t>
        </is>
      </c>
      <c r="E10" s="26" t="inlineStr">
        <is>
          <t>https://www.amazon.de/dp/B09LDCTQGY</t>
        </is>
      </c>
      <c r="F10" s="26" t="inlineStr">
        <is>
          <t>schwarz, 20 Stk</t>
        </is>
      </c>
      <c r="G10" s="26" t="n">
        <v>5.45</v>
      </c>
      <c r="H10" s="26" t="inlineStr">
        <is>
          <t>20 Stk</t>
        </is>
      </c>
      <c r="I10" s="26" t="inlineStr">
        <is>
          <t>Ø12 mm (Mulde max. 13 mm), 3,6 mm hoch; Verkauf durch Amazon</t>
        </is>
      </c>
      <c r="J10" s="26" t="inlineStr"/>
    </row>
    <row r="11">
      <c r="A11" s="26" t="n">
        <v>7</v>
      </c>
      <c r="B11" s="26" t="inlineStr">
        <is>
          <t>Silikonmatte (auf 86×86 zuschneiden)</t>
        </is>
      </c>
      <c r="C11" s="26" t="n">
        <v>1</v>
      </c>
      <c r="D11" s="26" t="inlineStr">
        <is>
          <t>FICOFISE Silikonmatte 40x30 cm</t>
        </is>
      </c>
      <c r="E11" s="26" t="inlineStr">
        <is>
          <t>https://www.amazon.de/dp/B0GVNMS4DZ</t>
        </is>
      </c>
      <c r="F11" s="26" t="inlineStr">
        <is>
          <t>schwarz</t>
        </is>
      </c>
      <c r="G11" s="26" t="n">
        <v>7.59</v>
      </c>
      <c r="H11" s="26" t="inlineStr">
        <is>
          <t>1 Matte</t>
        </is>
      </c>
      <c r="I11" s="26" t="inlineStr">
        <is>
          <t>1,2 mm dick (Soll 1–1,5 mm)</t>
        </is>
      </c>
      <c r="J11" s="26" t="inlineStr"/>
    </row>
    <row r="12">
      <c r="A12" s="26" t="n">
        <v>8</v>
      </c>
      <c r="B12" s="26" t="inlineStr">
        <is>
          <t>Schrauben M3×12 (8), M4 (2), M5×12 (2)</t>
        </is>
      </c>
      <c r="C12" s="26" t="n">
        <v>1</v>
      </c>
      <c r="D12" s="26" t="inlineStr">
        <is>
          <t>VIGRUE 1120 tlg. Senkkopf Innensechskant A2 M3–M6</t>
        </is>
      </c>
      <c r="E12" s="26" t="inlineStr">
        <is>
          <t>https://www.amazon.de/dp/B09XQMQNYY</t>
        </is>
      </c>
      <c r="F12" s="26" t="inlineStr">
        <is>
          <t>–</t>
        </is>
      </c>
      <c r="G12" s="26" t="n">
        <v>26.59</v>
      </c>
      <c r="H12" s="26" t="inlineStr">
        <is>
          <t>1120 tlg.</t>
        </is>
      </c>
      <c r="I12" s="26" t="inlineStr">
        <is>
          <t>enthält M3×12, M4×12, M5×12 Senkkopf Innensechskant</t>
        </is>
      </c>
      <c r="J12" s="26" t="inlineStr">
        <is>
          <t>M4×12 statt ×10: geprüft in SCAD, Spitze bleibt in der 12,7-mm-Wägezelle (ca. 7,4 mm Eingriff) → passt. Teuer: alleschrauben.de ca. 4,86 € + Versand</t>
        </is>
      </c>
    </row>
    <row r="13">
      <c r="A13" s="26" t="inlineStr"/>
      <c r="B13" s="26" t="inlineStr">
        <is>
          <t>Summe A</t>
        </is>
      </c>
      <c r="C13" s="26" t="inlineStr"/>
      <c r="D13" s="26" t="inlineStr"/>
      <c r="E13" s="26" t="inlineStr"/>
      <c r="F13" s="26" t="inlineStr"/>
      <c r="G13" s="26" t="n">
        <v>101.56</v>
      </c>
    </row>
    <row r="15">
      <c r="A15" s="26" t="inlineStr">
        <is>
          <t>B) Amazon – nur wenn du KEINEN zweiten Shop willst (teurer, Händlerversand)</t>
        </is>
      </c>
    </row>
    <row r="16">
      <c r="A16" s="26" t="inlineStr">
        <is>
          <t>Pos</t>
        </is>
      </c>
      <c r="B16" s="26" t="inlineStr">
        <is>
          <t>Teil</t>
        </is>
      </c>
      <c r="C16" s="26" t="inlineStr">
        <is>
          <t>Menge</t>
        </is>
      </c>
      <c r="D16" s="26" t="inlineStr">
        <is>
          <t>Amazon-Titel</t>
        </is>
      </c>
      <c r="E16" s="26" t="inlineStr">
        <is>
          <t>ASIN/Link</t>
        </is>
      </c>
      <c r="F16" s="26" t="inlineStr">
        <is>
          <t>Variante wählen</t>
        </is>
      </c>
      <c r="G16" s="26" t="inlineStr">
        <is>
          <t>Preis</t>
        </is>
      </c>
      <c r="H16" s="26" t="inlineStr">
        <is>
          <t>Packung</t>
        </is>
      </c>
      <c r="I16" s="26" t="inlineStr">
        <is>
          <t>passt weil</t>
        </is>
      </c>
      <c r="J16" s="26" t="inlineStr">
        <is>
          <t>Hinweis</t>
        </is>
      </c>
    </row>
    <row r="17">
      <c r="A17" s="26" t="n">
        <v>9</v>
      </c>
      <c r="B17" s="26" t="inlineStr">
        <is>
          <t>P-MOSFET AO3401 (SOT-23)</t>
        </is>
      </c>
      <c r="C17" s="26" t="n">
        <v>2</v>
      </c>
      <c r="D17" s="26" t="inlineStr">
        <is>
          <t>Chanzon AO3401 SOT-23 P-Kanal 4A, 100 Stück</t>
        </is>
      </c>
      <c r="E17" s="26" t="inlineStr">
        <is>
          <t>https://www.amazon.de/dp/B08LVLLC1V</t>
        </is>
      </c>
      <c r="F17" s="26" t="inlineStr">
        <is>
          <t>100er</t>
        </is>
      </c>
      <c r="G17" s="26" t="n">
        <v>18.99</v>
      </c>
      <c r="H17" s="26" t="inlineStr">
        <is>
          <t>100 Stk</t>
        </is>
      </c>
      <c r="I17" s="26" t="inlineStr">
        <is>
          <t>AO3401 = gleiche Daten wie AO3401A (-30 V/-4 A, SOT-23)</t>
        </is>
      </c>
      <c r="J17" s="26" t="inlineStr">
        <is>
          <t>Versand durch Händler (Chanzon DE), Lieferung 23.–26.10.; günstiger: Reichelt 2×0,17 € + 5,95 € Versand</t>
        </is>
      </c>
    </row>
    <row r="18">
      <c r="A18" s="26" t="n">
        <v>10</v>
      </c>
      <c r="B18" s="26" t="inlineStr">
        <is>
          <t>Transistor BC547</t>
        </is>
      </c>
      <c r="C18" s="26" t="n">
        <v>1</v>
      </c>
      <c r="D18" s="26" t="inlineStr">
        <is>
          <t>Tyenaza BC-Transistor-Sortiment 200 Stk (BC327…BC558)</t>
        </is>
      </c>
      <c r="E18" s="26" t="inlineStr">
        <is>
          <t>https://www.amazon.de/dp/B097XRFK3H</t>
        </is>
      </c>
      <c r="F18" s="26" t="inlineStr">
        <is>
          <t>–</t>
        </is>
      </c>
      <c r="G18" s="26" t="n">
        <v>9.49</v>
      </c>
      <c r="H18" s="26" t="inlineStr">
        <is>
          <t>200 Stk</t>
        </is>
      </c>
      <c r="I18" s="26" t="inlineStr">
        <is>
          <t>enthält 20× BC547 (TO-92)</t>
        </is>
      </c>
      <c r="J18" s="26" t="inlineStr">
        <is>
          <t>Nur 8 auf Lager; „manuell sortiert“; nur nötig, wenn nicht bei Berrybase (0,17 €)</t>
        </is>
      </c>
    </row>
    <row r="19">
      <c r="A19" s="26" t="n">
        <v>11</v>
      </c>
      <c r="B19" s="26" t="inlineStr">
        <is>
          <t>Schiebeschalter C&amp;K OS102011MS2QN1</t>
        </is>
      </c>
      <c r="C19" s="26" t="n">
        <v>1</v>
      </c>
      <c r="D19" s="26" t="inlineStr">
        <is>
          <t>C &amp; K os102011ms2qn1 Schiebeschalter SPDT On-On, 10 Stk</t>
        </is>
      </c>
      <c r="E19" s="26" t="inlineStr">
        <is>
          <t>https://www.amazon.de/dp/B011NM291G</t>
        </is>
      </c>
      <c r="F19" s="26" t="inlineStr">
        <is>
          <t>10er</t>
        </is>
      </c>
      <c r="G19" s="26" t="n">
        <v>16.13</v>
      </c>
      <c r="H19" s="26" t="inlineStr">
        <is>
          <t>10 Stk</t>
        </is>
      </c>
      <c r="I19" s="26" t="inlineStr">
        <is>
          <t>Original-Teilenummer → passt exakt in die Wandtasche (8,6×4,3×4)</t>
        </is>
      </c>
      <c r="J19" s="26" t="inlineStr">
        <is>
          <t>Händler HD TEC LTD, Lieferung 28.–31.10.; Seite widersprüchlich (ON-OFF/vertikal). Berrybase 0,70 € ist besser</t>
        </is>
      </c>
    </row>
    <row r="21">
      <c r="A21" s="26" t="inlineStr">
        <is>
          <t>C) Amazon – optional</t>
        </is>
      </c>
    </row>
    <row r="22">
      <c r="A22" s="26" t="inlineStr">
        <is>
          <t>Pos</t>
        </is>
      </c>
      <c r="B22" s="26" t="inlineStr">
        <is>
          <t>Teil</t>
        </is>
      </c>
      <c r="C22" s="26" t="inlineStr">
        <is>
          <t>Menge</t>
        </is>
      </c>
      <c r="D22" s="26" t="inlineStr">
        <is>
          <t>Amazon-Titel</t>
        </is>
      </c>
      <c r="E22" s="26" t="inlineStr">
        <is>
          <t>ASIN/Link</t>
        </is>
      </c>
      <c r="F22" s="26" t="inlineStr">
        <is>
          <t>Variante wählen</t>
        </is>
      </c>
      <c r="G22" s="26" t="inlineStr">
        <is>
          <t>Preis</t>
        </is>
      </c>
      <c r="H22" s="26" t="inlineStr">
        <is>
          <t>Packung</t>
        </is>
      </c>
      <c r="I22" s="26" t="inlineStr">
        <is>
          <t>passt weil</t>
        </is>
      </c>
      <c r="J22" s="26" t="inlineStr">
        <is>
          <t>Hinweis</t>
        </is>
      </c>
    </row>
    <row r="23">
      <c r="A23" s="26" t="n">
        <v>12</v>
      </c>
      <c r="B23" s="26" t="inlineStr">
        <is>
          <t>PLA weiß (Diffusor + Gehäuse)</t>
        </is>
      </c>
      <c r="C23" s="26" t="n">
        <v>1</v>
      </c>
      <c r="D23" s="26" t="inlineStr">
        <is>
          <t>ELEGOO PLA 1,75 mm Weiß 1 kg</t>
        </is>
      </c>
      <c r="E23" s="26" t="inlineStr">
        <is>
          <t>https://www.amazon.de/dp/B0CD7B7ZKK</t>
        </is>
      </c>
      <c r="F23" s="26" t="inlineStr">
        <is>
          <t>Weiß, 1KG</t>
        </is>
      </c>
      <c r="G23" s="26" t="n">
        <v>13.99</v>
      </c>
      <c r="H23" s="26" t="inlineStr">
        <is>
          <t>1 kg</t>
        </is>
      </c>
      <c r="I23" s="26" t="inlineStr">
        <is>
          <t>weißes PLA für den Diffusor (ca. 128 g gesamt)</t>
        </is>
      </c>
      <c r="J23" s="26" t="inlineStr">
        <is>
          <t>nur falls die Schule kein Filament stellt</t>
        </is>
      </c>
    </row>
    <row r="24">
      <c r="A24" s="26" t="n">
        <v>13</v>
      </c>
      <c r="B24" s="26" t="inlineStr">
        <is>
          <t>Schrumpfschlauch</t>
        </is>
      </c>
      <c r="C24" s="26" t="n">
        <v>1</v>
      </c>
      <c r="D24" s="26" t="inlineStr">
        <is>
          <t>QUADRIOS 800 tlg. Schrumpfschlauch 2:1</t>
        </is>
      </c>
      <c r="E24" s="26" t="inlineStr">
        <is>
          <t>https://www.amazon.de/dp/B07X27DFM5</t>
        </is>
      </c>
      <c r="F24" s="26" t="inlineStr">
        <is>
          <t>schwarz/rot</t>
        </is>
      </c>
      <c r="G24" s="26" t="n">
        <v>12.99</v>
      </c>
      <c r="H24" s="26" t="inlineStr">
        <is>
          <t>800 tlg.</t>
        </is>
      </c>
      <c r="I24" s="26" t="inlineStr">
        <is>
          <t>1,5–12 mm</t>
        </is>
      </c>
      <c r="J24" s="26" t="inlineStr">
        <is>
          <t>optional, Berrybase 2,80 € reicht</t>
        </is>
      </c>
    </row>
    <row r="25">
      <c r="A25" s="26" t="n">
        <v>14</v>
      </c>
      <c r="B25" s="26" t="inlineStr">
        <is>
          <t>Doppelseitiges Schaumklebeband</t>
        </is>
      </c>
      <c r="C25" s="26" t="n">
        <v>1</v>
      </c>
      <c r="D25" s="26" t="inlineStr">
        <is>
          <t>tesa Powerbond Ultra Strong 19 mm</t>
        </is>
      </c>
      <c r="E25" s="26" t="inlineStr">
        <is>
          <t>https://www.amazon.de/dp/B0171QJJ4S</t>
        </is>
      </c>
      <c r="F25" s="26" t="inlineStr">
        <is>
          <t>19 mm x 1500 mm wählen, falls günstiger (5 m = 15,95 €)</t>
        </is>
      </c>
      <c r="G25" s="26" t="n">
        <v>15.95</v>
      </c>
      <c r="H25" s="26" t="inlineStr">
        <is>
          <t>5 m</t>
        </is>
      </c>
      <c r="I25" s="26" t="inlineStr">
        <is>
          <t>fixiert Pololu, HX711, LM393 in den Fächern</t>
        </is>
      </c>
      <c r="J25" s="26" t="inlineStr">
        <is>
          <t>optional, Berrybase TESA 2,90 € reicht</t>
        </is>
      </c>
    </row>
    <row r="27">
      <c r="A27" s="26" t="inlineStr">
        <is>
          <t>D) Nicht (sinnvoll) bei Amazon → Berrybase (Preise vom 09.10.2026, vor Bestellung prüfen)</t>
        </is>
      </c>
    </row>
    <row r="28">
      <c r="A28" s="26" t="inlineStr"/>
      <c r="B28" s="26" t="inlineStr">
        <is>
          <t>Teil</t>
        </is>
      </c>
      <c r="C28" s="26" t="inlineStr">
        <is>
          <t>Menge</t>
        </is>
      </c>
      <c r="D28" s="26" t="inlineStr"/>
      <c r="E28" s="26" t="inlineStr">
        <is>
          <t>Link</t>
        </is>
      </c>
      <c r="F28" s="26" t="inlineStr"/>
      <c r="G28" s="26" t="inlineStr">
        <is>
          <t>Preis</t>
        </is>
      </c>
      <c r="H28" s="26" t="inlineStr"/>
      <c r="I28" s="26" t="inlineStr"/>
      <c r="J28" s="26" t="inlineStr">
        <is>
          <t>Warum nicht Amazon</t>
        </is>
      </c>
    </row>
    <row r="29">
      <c r="A29" s="26" t="inlineStr">
        <is>
          <t>D1</t>
        </is>
      </c>
      <c r="B29" s="26" t="inlineStr">
        <is>
          <t>Pololu S13V10F5 5 V 1 A Step-Up/Down</t>
        </is>
      </c>
      <c r="C29" s="26" t="n">
        <v>1</v>
      </c>
      <c r="D29" s="26" t="inlineStr"/>
      <c r="E29" s="26" t="inlineStr">
        <is>
          <t>https://www.berrybase.de/pololu-s13v10f5-5v-1a-step-up-step-down-converter</t>
        </is>
      </c>
      <c r="F29" s="26" t="inlineStr"/>
      <c r="G29" s="26" t="n">
        <v>9.949999999999999</v>
      </c>
      <c r="H29" s="26" t="inlineStr"/>
      <c r="I29" s="26" t="inlineStr"/>
      <c r="J29" s="26" t="inlineStr">
        <is>
          <t>Auf Amazon.de nicht gelistet (nur S9V11F5S6CMA, nicht verfügbar). TPS63020-Module: auf Amazon.de keine prüfbare Seite gefunden, 5 V nur ca. 0,9–1,3 A, Maße unbekannt → nicht empfohlen. Andere Shops: Eckstein 11,80 €, Botland 7,90 €</t>
        </is>
      </c>
    </row>
    <row r="30">
      <c r="A30" s="26" t="inlineStr">
        <is>
          <t>D2</t>
        </is>
      </c>
      <c r="B30" s="26" t="inlineStr">
        <is>
          <t>Regensensor LM393</t>
        </is>
      </c>
      <c r="C30" s="26" t="n">
        <v>1</v>
      </c>
      <c r="D30" s="26" t="inlineStr"/>
      <c r="E30" s="26" t="inlineStr">
        <is>
          <t>https://www.berrybase.de/regensensor-mit-digitalem-und-analogem-ausgang</t>
        </is>
      </c>
      <c r="F30" s="26" t="inlineStr"/>
      <c r="G30" s="26" t="n">
        <v>1.8</v>
      </c>
      <c r="H30" s="26" t="inlineStr"/>
      <c r="I30" s="26" t="inlineStr"/>
      <c r="J30" s="26" t="inlineStr">
        <is>
          <t>AZDelivery 1er/3er/5er auf Amazon.de alle „derzeit nicht verfügbar“ (16.10.)</t>
        </is>
      </c>
    </row>
    <row r="31">
      <c r="A31" s="26" t="inlineStr">
        <is>
          <t>D3</t>
        </is>
      </c>
      <c r="B31" s="26" t="inlineStr">
        <is>
          <t>Schiebeschalter C&amp;K OS102011MS2QN1</t>
        </is>
      </c>
      <c r="C31" s="26" t="n">
        <v>1</v>
      </c>
      <c r="D31" s="26" t="inlineStr"/>
      <c r="E31" s="26" t="inlineStr">
        <is>
          <t>https://www.berrybase.de/schiebeschalter-printmontage-on-on-2-stellig-8.6x4.3x4mm-gerade</t>
        </is>
      </c>
      <c r="F31" s="26" t="inlineStr"/>
      <c r="G31" s="26" t="n">
        <v>0.7</v>
      </c>
      <c r="H31" s="26" t="inlineStr"/>
      <c r="I31" s="26" t="inlineStr"/>
      <c r="J31" s="26" t="inlineStr">
        <is>
          <t>Amazon nur 10er für 16,13 €; generische SS12D00 (8,5×3,5) passen NICHT sicher in die Tasche</t>
        </is>
      </c>
    </row>
    <row r="32">
      <c r="A32" s="26" t="inlineStr">
        <is>
          <t>D4</t>
        </is>
      </c>
      <c r="B32" s="26" t="inlineStr">
        <is>
          <t>BC547B</t>
        </is>
      </c>
      <c r="C32" s="26" t="n">
        <v>1</v>
      </c>
      <c r="D32" s="26" t="inlineStr"/>
      <c r="E32" s="26" t="inlineStr">
        <is>
          <t>https://www.berrybase.de/bc547b-bipolarer-transistor-npn-45v-100ma-to-92-3-pin</t>
        </is>
      </c>
      <c r="F32" s="26" t="inlineStr"/>
      <c r="G32" s="26" t="n">
        <v>0.17</v>
      </c>
      <c r="H32" s="26" t="inlineStr"/>
      <c r="I32" s="26" t="inlineStr"/>
      <c r="J32" s="26" t="inlineStr"/>
    </row>
    <row r="33">
      <c r="A33" s="26" t="inlineStr">
        <is>
          <t>D5</t>
        </is>
      </c>
      <c r="B33" s="26" t="inlineStr">
        <is>
          <t>Widerstände 470 Ω, 4,7 kΩ, 2×47 kΩ, 3×10 kΩ</t>
        </is>
      </c>
      <c r="C33" s="26" t="n">
        <v>1</v>
      </c>
      <c r="D33" s="26" t="inlineStr"/>
      <c r="E33" s="26" t="inlineStr">
        <is>
          <t>siehe Einkaufsliste_HydroDesk_guenstig.xlsx</t>
        </is>
      </c>
      <c r="F33" s="26" t="inlineStr"/>
      <c r="G33" s="26" t="n">
        <v>0.36</v>
      </c>
      <c r="H33" s="26" t="inlineStr"/>
      <c r="I33" s="26" t="inlineStr"/>
      <c r="J33" s="26" t="inlineStr">
        <is>
          <t>Amazon-Sortimente: nicht verfügbar oder Lieferung erst Nov.</t>
        </is>
      </c>
    </row>
    <row r="34">
      <c r="A34" s="26" t="inlineStr">
        <is>
          <t>D6</t>
        </is>
      </c>
      <c r="B34" s="26" t="inlineStr">
        <is>
          <t>Elko 470 µF/25 V</t>
        </is>
      </c>
      <c r="C34" s="26" t="n">
        <v>1</v>
      </c>
      <c r="D34" s="26" t="inlineStr"/>
      <c r="E34" s="26" t="inlineStr">
        <is>
          <t>https://www.berrybase.de/elektrolytkondensator-470-f-25v-1050c-1-radial-tht</t>
        </is>
      </c>
      <c r="F34" s="26" t="inlineStr"/>
      <c r="G34" s="26" t="n">
        <v>0.1</v>
      </c>
      <c r="H34" s="26" t="inlineStr"/>
      <c r="I34" s="26" t="inlineStr"/>
      <c r="J34" s="26" t="inlineStr">
        <is>
          <t>AZDelivery-Elko-Sortiment auf Amazon nicht verfügbar</t>
        </is>
      </c>
    </row>
    <row r="35">
      <c r="A35" s="26" t="inlineStr">
        <is>
          <t>D7</t>
        </is>
      </c>
      <c r="B35" s="26" t="inlineStr">
        <is>
          <t>2× SOT-23-Adapter</t>
        </is>
      </c>
      <c r="C35" s="26" t="n">
        <v>2</v>
      </c>
      <c r="D35" s="26" t="inlineStr"/>
      <c r="E35" s="26" t="inlineStr">
        <is>
          <t>https://www.berrybase.de/smd-breakout-adapter-fuer-sot23-ssop10-msop10-10-pin-0-50mm-0-95mm</t>
        </is>
      </c>
      <c r="F35" s="26" t="inlineStr"/>
      <c r="G35" s="26" t="n">
        <v>0.64</v>
      </c>
      <c r="H35" s="26" t="inlineStr"/>
      <c r="I35" s="26" t="inlineStr"/>
      <c r="J35" s="26" t="inlineStr">
        <is>
          <t>auf Amazon.de kein Angebot gefunden</t>
        </is>
      </c>
    </row>
    <row r="36">
      <c r="A36" s="26" t="inlineStr">
        <is>
          <t>D8</t>
        </is>
      </c>
      <c r="B36" s="26" t="inlineStr">
        <is>
          <t>Stiftleiste 1×20 RM 2,54</t>
        </is>
      </c>
      <c r="C36" s="26" t="n">
        <v>1</v>
      </c>
      <c r="D36" s="26" t="inlineStr"/>
      <c r="E36" s="26" t="inlineStr">
        <is>
          <t>https://www.berrybase.de/stiftleiste-1x-20-polig-rm-2-54-gerade</t>
        </is>
      </c>
      <c r="F36" s="26" t="inlineStr"/>
      <c r="G36" s="26" t="n">
        <v>0.2</v>
      </c>
      <c r="H36" s="26" t="inlineStr"/>
      <c r="I36" s="26" t="inlineStr"/>
      <c r="J36" s="26" t="inlineStr"/>
    </row>
    <row r="37">
      <c r="A37" s="26" t="inlineStr">
        <is>
          <t>D9</t>
        </is>
      </c>
      <c r="B37" s="26" t="inlineStr">
        <is>
          <t>Lochrasterplatine</t>
        </is>
      </c>
      <c r="C37" s="26" t="n">
        <v>1</v>
      </c>
      <c r="D37" s="26" t="inlineStr"/>
      <c r="E37" s="26" t="inlineStr">
        <is>
          <t>https://www.berrybase.de/lochrasterplatine-9x15cm-mit-einseitiger-kupferauflage</t>
        </is>
      </c>
      <c r="F37" s="26" t="inlineStr"/>
      <c r="G37" s="26" t="n">
        <v>1.1</v>
      </c>
      <c r="H37" s="26" t="inlineStr"/>
      <c r="I37" s="26" t="inlineStr"/>
      <c r="J37" s="26" t="inlineStr"/>
    </row>
    <row r="38">
      <c r="A38" s="26" t="inlineStr">
        <is>
          <t>D10</t>
        </is>
      </c>
      <c r="B38" s="26" t="inlineStr">
        <is>
          <t>Vierlingslitze 4×0,14 mm², 5 m</t>
        </is>
      </c>
      <c r="C38" s="26" t="n">
        <v>1</v>
      </c>
      <c r="D38" s="26" t="inlineStr"/>
      <c r="E38" s="26" t="inlineStr">
        <is>
          <t>https://www.berrybase.de/vierlingslitze-isoliert-4x0-14mm-5m-farbe-blau-gelb-rot-gruen</t>
        </is>
      </c>
      <c r="F38" s="26" t="inlineStr"/>
      <c r="G38" s="26" t="n">
        <v>3.5</v>
      </c>
      <c r="H38" s="26" t="inlineStr"/>
      <c r="I38" s="26" t="inlineStr"/>
      <c r="J38" s="26" t="inlineStr"/>
    </row>
    <row r="39">
      <c r="A39" s="26" t="inlineStr">
        <is>
          <t>D11</t>
        </is>
      </c>
      <c r="B39" s="26" t="inlineStr">
        <is>
          <t>Schrumpfschlauch, TESA-Klebeband, Kabelbinder</t>
        </is>
      </c>
      <c r="C39" s="26" t="n">
        <v>1</v>
      </c>
      <c r="D39" s="26" t="inlineStr"/>
      <c r="E39" s="26" t="inlineStr">
        <is>
          <t>siehe Einkaufsliste_HydroDesk_guenstig.xlsx</t>
        </is>
      </c>
      <c r="F39" s="26" t="inlineStr"/>
      <c r="G39" s="26" t="n">
        <v>6.3</v>
      </c>
      <c r="H39" s="26" t="inlineStr"/>
      <c r="I39" s="26" t="inlineStr"/>
      <c r="J39" s="26" t="inlineStr">
        <is>
          <t>ersetzt Amazon Pos. 13+14</t>
        </is>
      </c>
    </row>
    <row r="40">
      <c r="A40" s="26" t="inlineStr"/>
      <c r="B40" s="26" t="inlineStr">
        <is>
          <t>Summe Berrybase (+4,95 € Versand)</t>
        </is>
      </c>
      <c r="C40" s="26" t="inlineStr"/>
      <c r="D40" s="26" t="inlineStr"/>
      <c r="E40" s="26" t="inlineStr"/>
      <c r="F40" s="26" t="inlineStr"/>
      <c r="G40" s="26" t="n">
        <v>24.82</v>
      </c>
    </row>
    <row r="41">
      <c r="A41" s="26" t="inlineStr">
        <is>
          <t>E1</t>
        </is>
      </c>
      <c r="B41" s="26" t="inlineStr">
        <is>
          <t>AO3401A (2 + 1 Reserve) – Reichelt</t>
        </is>
      </c>
      <c r="C41" s="26" t="inlineStr">
        <is>
          <t>3</t>
        </is>
      </c>
      <c r="D41" s="26" t="inlineStr"/>
      <c r="E41" s="26" t="inlineStr">
        <is>
          <t>https://www.reichelt.de/de/de/shop/produkt/mosfet_p-ch_-30v_-4a_0_041r_sot-23-166486</t>
        </is>
      </c>
      <c r="F41" s="26" t="inlineStr"/>
      <c r="G41" s="26" t="n">
        <v>0.51</v>
      </c>
      <c r="H41" s="26" t="inlineStr"/>
      <c r="I41" s="26" t="inlineStr"/>
      <c r="J41" s="26" t="inlineStr">
        <is>
          <t>Berrybase hat ihn nicht; Amazon-Alternative Pos. 9 (18,99 €)</t>
        </is>
      </c>
    </row>
    <row r="42">
      <c r="A42" s="26" t="inlineStr">
        <is>
          <t>E2</t>
        </is>
      </c>
      <c r="B42" s="26" t="inlineStr">
        <is>
          <t>microSD-Sniffer</t>
        </is>
      </c>
      <c r="C42" s="26" t="n">
        <v>0</v>
      </c>
      <c r="D42" s="26" t="inlineStr"/>
      <c r="E42" s="26" t="inlineStr">
        <is>
          <t>nicht bestellen</t>
        </is>
      </c>
      <c r="F42" s="26" t="inlineStr"/>
      <c r="G42" s="26" t="inlineStr"/>
      <c r="H42" s="26" t="inlineStr"/>
      <c r="I42" s="26" t="inlineStr"/>
      <c r="J42" s="26" t="inlineStr">
        <is>
          <t>nicht bestellen, passt nicht. SD-Slot zeigt zur Frontwand (nur ca. 3,5 mm Luft); Sniffer würde ca. 35–40 mm herausstehen. GPIO18/19/23 direkt an den SD-Slot löten.</t>
        </is>
      </c>
    </row>
    <row r="44">
      <c r="A44" s="26" t="inlineStr"/>
      <c r="B44" s="26" t="inlineStr">
        <is>
          <t>EMPFOHLEN: A + D + Reichelt (inkl. Versand)</t>
        </is>
      </c>
      <c r="C44" s="26" t="inlineStr"/>
      <c r="D44" s="26" t="inlineStr"/>
      <c r="E44" s="26" t="inlineStr"/>
      <c r="F44" s="26" t="inlineStr"/>
      <c r="G44" s="26" t="n">
        <v>137.79</v>
      </c>
    </row>
    <row r="45">
      <c r="A45" s="26" t="inlineStr"/>
      <c r="B45" s="26" t="inlineStr">
        <is>
          <t>Variante „möglichst viel Amazon“: A + B (Pololu, Regensensor, Kleinteile trotzdem Berrybase)</t>
        </is>
      </c>
      <c r="C45" s="26" t="inlineStr"/>
      <c r="D45" s="26" t="inlineStr"/>
      <c r="E45" s="26" t="inlineStr"/>
      <c r="F45" s="26" t="inlineStr"/>
      <c r="G45" s="26" t="n">
        <v>175.07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70" customWidth="1" style="27" min="1" max="1"/>
    <col width="21" customWidth="1" style="27" min="2" max="2"/>
    <col width="72" customWidth="1" style="27" min="3" max="3"/>
    <col width="8" customWidth="1" style="27" min="4" max="4"/>
    <col width="11" customWidth="1" style="27" min="5" max="5"/>
    <col width="9" customWidth="1" style="27" min="6" max="6"/>
  </cols>
  <sheetData>
    <row r="1">
      <c r="A1" s="52" t="inlineStr">
        <is>
          <t>Tatsächliche Bestellung HydroDesk Base – 16.10.2026</t>
        </is>
      </c>
    </row>
    <row r="2">
      <c r="A2" s="53" t="inlineStr">
        <is>
          <t>Gesamt 122,13 € (4 Belege). microSD-Sniffer und PLA nicht bestellt.</t>
        </is>
      </c>
    </row>
    <row r="3"/>
    <row r="4">
      <c r="A4" s="54" t="inlineStr">
        <is>
          <t>Shop</t>
        </is>
      </c>
      <c r="B4" s="54" t="inlineStr">
        <is>
          <t>Bestellnummer</t>
        </is>
      </c>
      <c r="C4" s="54" t="inlineStr">
        <is>
          <t>Produktname</t>
        </is>
      </c>
      <c r="D4" s="54" t="inlineStr">
        <is>
          <t>Menge</t>
        </is>
      </c>
      <c r="E4" s="54" t="inlineStr">
        <is>
          <t>Summe (€)</t>
        </is>
      </c>
      <c r="F4" s="54" t="inlineStr">
        <is>
          <t>Hinweis</t>
        </is>
      </c>
    </row>
    <row r="5">
      <c r="A5" s="55" t="inlineStr">
        <is>
          <t>Amazon</t>
        </is>
      </c>
      <c r="B5" s="55" t="inlineStr">
        <is>
          <t>303-9574488-4297123</t>
        </is>
      </c>
      <c r="C5" s="55" t="inlineStr">
        <is>
          <t>Fastsaw CYD ESP32-2432S028R 2,8" Touch TFT ILI9341 (Entwicklungsboard)</t>
        </is>
      </c>
      <c r="D5" s="55" t="n">
        <v>1</v>
      </c>
      <c r="E5" s="56" t="n">
        <v>17.99</v>
      </c>
      <c r="F5" s="55" t="inlineStr"/>
    </row>
    <row r="6">
      <c r="A6" s="55" t="inlineStr">
        <is>
          <t>Amazon</t>
        </is>
      </c>
      <c r="B6" s="55" t="inlineStr">
        <is>
          <t>303-9574488-4297123</t>
        </is>
      </c>
      <c r="C6" s="55" t="inlineStr">
        <is>
          <t>TC4056 USB-C Lademodul mit Schutz (10er-Pack)</t>
        </is>
      </c>
      <c r="D6" s="55" t="n">
        <v>1</v>
      </c>
      <c r="E6" s="56" t="n">
        <v>6.99</v>
      </c>
      <c r="F6" s="55" t="inlineStr"/>
    </row>
    <row r="7">
      <c r="A7" s="55" t="inlineStr">
        <is>
          <t>Amazon</t>
        </is>
      </c>
      <c r="B7" s="55" t="inlineStr">
        <is>
          <t>303-9574488-4297123</t>
        </is>
      </c>
      <c r="C7" s="55" t="inlineStr">
        <is>
          <t>DIYmalls Wägezelle 5 kg + HX711</t>
        </is>
      </c>
      <c r="D7" s="55" t="n">
        <v>1</v>
      </c>
      <c r="E7" s="56" t="n">
        <v>8.970000000000001</v>
      </c>
      <c r="F7" s="55" t="inlineStr"/>
    </row>
    <row r="8">
      <c r="A8" s="55" t="inlineStr">
        <is>
          <t>Amazon</t>
        </is>
      </c>
      <c r="B8" s="55" t="inlineStr">
        <is>
          <t>303-9574488-4297123</t>
        </is>
      </c>
      <c r="C8" s="55" t="inlineStr">
        <is>
          <t>FUNIANMAOYI Silikonmatte 40×30 cm, 1,2 mm (rutschfest)</t>
        </is>
      </c>
      <c r="D8" s="55" t="n">
        <v>1</v>
      </c>
      <c r="E8" s="56" t="n">
        <v>7.59</v>
      </c>
      <c r="F8" s="55" t="inlineStr"/>
    </row>
    <row r="9">
      <c r="A9" s="55" t="inlineStr">
        <is>
          <t>Amazon</t>
        </is>
      </c>
      <c r="B9" s="55" t="inlineStr">
        <is>
          <t>303-9574488-4297123</t>
        </is>
      </c>
      <c r="C9" s="55" t="inlineStr">
        <is>
          <t>EEMB LP103454 LiPo 3,7 V 2000 mAh mit JST-PH</t>
        </is>
      </c>
      <c r="D9" s="55" t="n">
        <v>1</v>
      </c>
      <c r="E9" s="56" t="n">
        <v>10.99</v>
      </c>
      <c r="F9" s="55" t="inlineStr"/>
    </row>
    <row r="10">
      <c r="A10" s="55" t="inlineStr">
        <is>
          <t>Amazon</t>
        </is>
      </c>
      <c r="B10" s="55" t="inlineStr">
        <is>
          <t>303-9574488-4297123</t>
        </is>
      </c>
      <c r="C10" s="55" t="inlineStr">
        <is>
          <t>BTF-LIGHTING WS2812B FCOB COB-LED-Streifen 1 m, 160 LEDs/m, 5 mm</t>
        </is>
      </c>
      <c r="D10" s="55" t="n">
        <v>1</v>
      </c>
      <c r="E10" s="56" t="n">
        <v>16.99</v>
      </c>
      <c r="F10" s="55" t="inlineStr"/>
    </row>
    <row r="11">
      <c r="A11" s="55" t="inlineStr">
        <is>
          <t>Amazon</t>
        </is>
      </c>
      <c r="B11" s="55" t="inlineStr">
        <is>
          <t>303-9574488-4297123</t>
        </is>
      </c>
      <c r="C11" s="57" t="inlineStr">
        <is>
          <t>Versand (frei)</t>
        </is>
      </c>
      <c r="D11" s="55" t="inlineStr">
        <is>
          <t>–</t>
        </is>
      </c>
      <c r="E11" s="56" t="n">
        <v>0</v>
      </c>
      <c r="F11" s="55" t="n"/>
    </row>
    <row r="12">
      <c r="A12" s="58" t="inlineStr">
        <is>
          <t>Summe Amazon</t>
        </is>
      </c>
      <c r="B12" s="58" t="n"/>
      <c r="C12" s="58" t="n"/>
      <c r="D12" s="58" t="n"/>
      <c r="E12" s="59" t="n">
        <v>69.52</v>
      </c>
      <c r="F12" s="58" t="n"/>
    </row>
    <row r="13"/>
    <row r="14">
      <c r="A14" s="55" t="inlineStr">
        <is>
          <t>Berrybase</t>
        </is>
      </c>
      <c r="B14" s="55" t="inlineStr">
        <is>
          <t>1086360</t>
        </is>
      </c>
      <c r="C14" s="55" t="inlineStr">
        <is>
          <t>TESA Doppelseitiges Klebeband 10 m × 12 mm, transparent, PP-Träger, lösungsmittelfrei</t>
        </is>
      </c>
      <c r="D14" s="55" t="n">
        <v>1</v>
      </c>
      <c r="E14" s="56" t="n">
        <v>2.9</v>
      </c>
      <c r="F14" s="55" t="inlineStr"/>
    </row>
    <row r="15">
      <c r="A15" s="55" t="inlineStr">
        <is>
          <t>Berrybase</t>
        </is>
      </c>
      <c r="B15" s="55" t="inlineStr">
        <is>
          <t>1086360</t>
        </is>
      </c>
      <c r="C15" s="55" t="inlineStr">
        <is>
          <t>BC547B – Bipolarer Transistor, NPN, 45 V, 100 mA, TO-92, 3-pin</t>
        </is>
      </c>
      <c r="D15" s="55" t="n">
        <v>4</v>
      </c>
      <c r="E15" s="56" t="n">
        <v>0.68</v>
      </c>
      <c r="F15" s="55" t="inlineStr"/>
    </row>
    <row r="16">
      <c r="A16" s="55" t="inlineStr">
        <is>
          <t>Berrybase</t>
        </is>
      </c>
      <c r="B16" s="55" t="inlineStr">
        <is>
          <t>1086360</t>
        </is>
      </c>
      <c r="C16" s="55" t="inlineStr">
        <is>
          <t>Vierlingslitze isoliert, 4×0,14 mm, 5 m – Farbe: blau, gelb, rot, grün</t>
        </is>
      </c>
      <c r="D16" s="55" t="n">
        <v>1</v>
      </c>
      <c r="E16" s="56" t="n">
        <v>3.5</v>
      </c>
      <c r="F16" s="55" t="inlineStr"/>
    </row>
    <row r="17">
      <c r="A17" s="55" t="inlineStr">
        <is>
          <t>Berrybase</t>
        </is>
      </c>
      <c r="B17" s="55" t="inlineStr">
        <is>
          <t>1086360</t>
        </is>
      </c>
      <c r="C17" s="55" t="inlineStr">
        <is>
          <t>Elektrolytkondensator, 470 µF, 25 V, 105 °C, ±1 %, radial, THT</t>
        </is>
      </c>
      <c r="D17" s="55" t="n">
        <v>3</v>
      </c>
      <c r="E17" s="56" t="n">
        <v>0.3</v>
      </c>
      <c r="F17" s="55" t="inlineStr"/>
    </row>
    <row r="18">
      <c r="A18" s="55" t="inlineStr">
        <is>
          <t>Berrybase</t>
        </is>
      </c>
      <c r="B18" s="55" t="inlineStr">
        <is>
          <t>1086360</t>
        </is>
      </c>
      <c r="C18" s="55" t="inlineStr">
        <is>
          <t>FIX&amp;FASTEN Selbstklebender Fuß, rund, Ø oben 9,5 / unten 10 mm, Höhe 4,5 mm, Gummi, schwarz</t>
        </is>
      </c>
      <c r="D18" s="55" t="n">
        <v>4</v>
      </c>
      <c r="E18" s="56" t="n">
        <v>0.6</v>
      </c>
      <c r="F18" s="55" t="inlineStr"/>
    </row>
    <row r="19">
      <c r="A19" s="55" t="inlineStr">
        <is>
          <t>Berrybase</t>
        </is>
      </c>
      <c r="B19" s="55" t="inlineStr">
        <is>
          <t>1086360</t>
        </is>
      </c>
      <c r="C19" s="55" t="inlineStr">
        <is>
          <t>Metallschichtwiderstand, 10,0 kΩ, 1/4 W, ±1 %, 0207, axial</t>
        </is>
      </c>
      <c r="D19" s="55" t="n">
        <v>5</v>
      </c>
      <c r="E19" s="56" t="n">
        <v>0.25</v>
      </c>
      <c r="F19" s="55" t="inlineStr"/>
    </row>
    <row r="20">
      <c r="A20" s="55" t="inlineStr">
        <is>
          <t>Berrybase</t>
        </is>
      </c>
      <c r="B20" s="55" t="inlineStr">
        <is>
          <t>1086360</t>
        </is>
      </c>
      <c r="C20" s="55" t="inlineStr">
        <is>
          <t>Metallschichtwiderstand, 470,0 Ω, 1/4 W, ±1 %, 0207, axial</t>
        </is>
      </c>
      <c r="D20" s="55" t="n">
        <v>5</v>
      </c>
      <c r="E20" s="56" t="n">
        <v>0.25</v>
      </c>
      <c r="F20" s="55" t="inlineStr"/>
    </row>
    <row r="21">
      <c r="A21" s="55" t="inlineStr">
        <is>
          <t>Berrybase</t>
        </is>
      </c>
      <c r="B21" s="55" t="inlineStr">
        <is>
          <t>1086360</t>
        </is>
      </c>
      <c r="C21" s="55" t="inlineStr">
        <is>
          <t>Metallschichtwiderstand, 47,0 kΩ, 1/4 W, ±1 %, 0207, axial</t>
        </is>
      </c>
      <c r="D21" s="55" t="n">
        <v>4</v>
      </c>
      <c r="E21" s="56" t="n">
        <v>0.2</v>
      </c>
      <c r="F21" s="55" t="inlineStr"/>
    </row>
    <row r="22">
      <c r="A22" s="55" t="inlineStr">
        <is>
          <t>Berrybase</t>
        </is>
      </c>
      <c r="B22" s="55" t="inlineStr">
        <is>
          <t>1086360</t>
        </is>
      </c>
      <c r="C22" s="55" t="inlineStr">
        <is>
          <t>Metallschichtwiderstand, 4,7 kΩ, 1/4 W, ±1 %, 0207, axial</t>
        </is>
      </c>
      <c r="D22" s="55" t="n">
        <v>5</v>
      </c>
      <c r="E22" s="56" t="n">
        <v>0.3</v>
      </c>
      <c r="F22" s="55" t="inlineStr"/>
    </row>
    <row r="23">
      <c r="A23" s="55" t="inlineStr">
        <is>
          <t>Berrybase</t>
        </is>
      </c>
      <c r="B23" s="55" t="inlineStr">
        <is>
          <t>1086360</t>
        </is>
      </c>
      <c r="C23" s="55" t="inlineStr">
        <is>
          <t>Lochrasterplatine, doppelseitig, 3×7 cm, 10 Stück</t>
        </is>
      </c>
      <c r="D23" s="55" t="n">
        <v>1</v>
      </c>
      <c r="E23" s="56" t="n">
        <v>3.3</v>
      </c>
      <c r="F23" s="55" t="inlineStr"/>
    </row>
    <row r="24">
      <c r="A24" s="55" t="inlineStr">
        <is>
          <t>Berrybase</t>
        </is>
      </c>
      <c r="B24" s="55" t="inlineStr">
        <is>
          <t>1086360</t>
        </is>
      </c>
      <c r="C24" s="55" t="inlineStr">
        <is>
          <t>Stiftleiste, 1×20-polig, RM 2,54, gerade</t>
        </is>
      </c>
      <c r="D24" s="55" t="n">
        <v>2</v>
      </c>
      <c r="E24" s="56" t="n">
        <v>0.4</v>
      </c>
      <c r="F24" s="55" t="inlineStr"/>
    </row>
    <row r="25">
      <c r="A25" s="55" t="inlineStr">
        <is>
          <t>Berrybase</t>
        </is>
      </c>
      <c r="B25" s="55" t="inlineStr">
        <is>
          <t>1086360</t>
        </is>
      </c>
      <c r="C25" s="55" t="inlineStr">
        <is>
          <t>Pololu S13V10F5 5 V, 1 A Step-Up/Step-Down Converter</t>
        </is>
      </c>
      <c r="D25" s="55" t="n">
        <v>1</v>
      </c>
      <c r="E25" s="56" t="n">
        <v>9.949999999999999</v>
      </c>
      <c r="F25" s="55" t="inlineStr"/>
    </row>
    <row r="26">
      <c r="A26" s="55" t="inlineStr">
        <is>
          <t>Berrybase</t>
        </is>
      </c>
      <c r="B26" s="55" t="inlineStr">
        <is>
          <t>1086360</t>
        </is>
      </c>
      <c r="C26" s="55" t="inlineStr">
        <is>
          <t>Regensensor mit digitalem und analogem Ausgang</t>
        </is>
      </c>
      <c r="D26" s="55" t="n">
        <v>1</v>
      </c>
      <c r="E26" s="56" t="n">
        <v>1.8</v>
      </c>
      <c r="F26" s="55" t="inlineStr"/>
    </row>
    <row r="27">
      <c r="A27" s="55" t="inlineStr">
        <is>
          <t>Berrybase</t>
        </is>
      </c>
      <c r="B27" s="55" t="inlineStr">
        <is>
          <t>1086360</t>
        </is>
      </c>
      <c r="C27" s="55" t="inlineStr">
        <is>
          <t>Schiebeschalter, Printmontage, ON-ON, 2-stellig, 8,6×4,3×4 mm, gerade</t>
        </is>
      </c>
      <c r="D27" s="55" t="n">
        <v>2</v>
      </c>
      <c r="E27" s="56" t="n">
        <v>1.4</v>
      </c>
      <c r="F27" s="55" t="inlineStr"/>
    </row>
    <row r="28">
      <c r="A28" s="55" t="inlineStr">
        <is>
          <t>Berrybase</t>
        </is>
      </c>
      <c r="B28" s="55" t="inlineStr">
        <is>
          <t>1086360</t>
        </is>
      </c>
      <c r="C28" s="55" t="inlineStr">
        <is>
          <t>SMD Breakout Adapter für SOT23 / SSOP10 / MSOP10, 10 Pin, 0,50 mm / 0,95 mm</t>
        </is>
      </c>
      <c r="D28" s="55" t="n">
        <v>4</v>
      </c>
      <c r="E28" s="56" t="n">
        <v>1.28</v>
      </c>
      <c r="F28" s="55" t="inlineStr"/>
    </row>
    <row r="29">
      <c r="A29" s="55" t="inlineStr">
        <is>
          <t>Berrybase</t>
        </is>
      </c>
      <c r="B29" s="55" t="inlineStr">
        <is>
          <t>1086360</t>
        </is>
      </c>
      <c r="C29" s="55" t="inlineStr">
        <is>
          <t>Kabelbinder, UV-beständig, Nylon, 100 Stück (100×2,5 mm, transparent)</t>
        </is>
      </c>
      <c r="D29" s="55" t="n">
        <v>1</v>
      </c>
      <c r="E29" s="56" t="n">
        <v>0.6</v>
      </c>
      <c r="F29" s="55" t="inlineStr"/>
    </row>
    <row r="30">
      <c r="A30" s="55" t="inlineStr">
        <is>
          <t>Berrybase</t>
        </is>
      </c>
      <c r="B30" s="55" t="inlineStr">
        <is>
          <t>1086360</t>
        </is>
      </c>
      <c r="C30" s="55" t="inlineStr">
        <is>
          <t>Schrumpfschlauch-Set, 100-teilig in Sortimentsbox, schwarz</t>
        </is>
      </c>
      <c r="D30" s="55" t="n">
        <v>1</v>
      </c>
      <c r="E30" s="56" t="n">
        <v>2.8</v>
      </c>
      <c r="F30" s="55" t="inlineStr"/>
    </row>
    <row r="31">
      <c r="A31" s="55" t="inlineStr">
        <is>
          <t>Berrybase</t>
        </is>
      </c>
      <c r="B31" s="55" t="inlineStr">
        <is>
          <t>1086360</t>
        </is>
      </c>
      <c r="C31" s="57" t="inlineStr">
        <is>
          <t>Versand DHL Paket</t>
        </is>
      </c>
      <c r="D31" s="55" t="inlineStr">
        <is>
          <t>–</t>
        </is>
      </c>
      <c r="E31" s="56" t="n">
        <v>4.95</v>
      </c>
      <c r="F31" s="55" t="n"/>
    </row>
    <row r="32">
      <c r="A32" s="58" t="inlineStr">
        <is>
          <t>Summe Berrybase</t>
        </is>
      </c>
      <c r="B32" s="58" t="n"/>
      <c r="C32" s="58" t="n"/>
      <c r="D32" s="58" t="n"/>
      <c r="E32" s="59" t="n">
        <v>35.46</v>
      </c>
      <c r="F32" s="58" t="n"/>
    </row>
    <row r="33"/>
    <row r="34">
      <c r="A34" s="55" t="inlineStr">
        <is>
          <t>alleschrauben.de</t>
        </is>
      </c>
      <c r="B34" s="55" t="inlineStr">
        <is>
          <t>FASTON</t>
        </is>
      </c>
      <c r="C34" s="55" t="inlineStr">
        <is>
          <t>Senkkopfschrauben M3×12 mit Innensechskant DIN 7991, Edelstahl A2</t>
        </is>
      </c>
      <c r="D34" s="55" t="n">
        <v>10</v>
      </c>
      <c r="E34" s="56" t="n">
        <v>2.5</v>
      </c>
      <c r="F34" s="55" t="inlineStr"/>
    </row>
    <row r="35">
      <c r="A35" s="55" t="inlineStr">
        <is>
          <t>alleschrauben.de</t>
        </is>
      </c>
      <c r="B35" s="55" t="inlineStr">
        <is>
          <t>FASTON</t>
        </is>
      </c>
      <c r="C35" s="55" t="inlineStr">
        <is>
          <t>Senkkopfschrauben M4×10 mit Innensechskant DIN 7991, Edelstahl A2</t>
        </is>
      </c>
      <c r="D35" s="55" t="n">
        <v>2</v>
      </c>
      <c r="E35" s="56" t="n">
        <v>1.12</v>
      </c>
      <c r="F35" s="55" t="inlineStr"/>
    </row>
    <row r="36">
      <c r="A36" s="55" t="inlineStr">
        <is>
          <t>alleschrauben.de</t>
        </is>
      </c>
      <c r="B36" s="55" t="inlineStr">
        <is>
          <t>FASTON</t>
        </is>
      </c>
      <c r="C36" s="55" t="inlineStr">
        <is>
          <t>Senkkopfschrauben M5×12 mit Innensechskant DIN 7991, Edelstahl A2</t>
        </is>
      </c>
      <c r="D36" s="55" t="n">
        <v>2</v>
      </c>
      <c r="E36" s="56" t="n">
        <v>1.24</v>
      </c>
      <c r="F36" s="55" t="inlineStr"/>
    </row>
    <row r="37">
      <c r="A37" s="55" t="inlineStr">
        <is>
          <t>alleschrauben.de</t>
        </is>
      </c>
      <c r="B37" s="55" t="inlineStr">
        <is>
          <t>FASTON</t>
        </is>
      </c>
      <c r="C37" s="57" t="inlineStr">
        <is>
          <t>Versand</t>
        </is>
      </c>
      <c r="D37" s="55" t="inlineStr">
        <is>
          <t>–</t>
        </is>
      </c>
      <c r="E37" s="56" t="n">
        <v>5.49</v>
      </c>
      <c r="F37" s="55" t="n"/>
    </row>
    <row r="38">
      <c r="A38" s="58" t="inlineStr">
        <is>
          <t>Summe alleschrauben.de</t>
        </is>
      </c>
      <c r="B38" s="58" t="n"/>
      <c r="C38" s="58" t="n"/>
      <c r="D38" s="58" t="n"/>
      <c r="E38" s="59" t="n">
        <v>10.35</v>
      </c>
      <c r="F38" s="58" t="n"/>
    </row>
    <row r="39"/>
    <row r="40">
      <c r="A40" s="55" t="inlineStr">
        <is>
          <t>Reichelt</t>
        </is>
      </c>
      <c r="B40" s="55" t="inlineStr">
        <is>
          <t>AO3401A</t>
        </is>
      </c>
      <c r="C40" s="55" t="inlineStr">
        <is>
          <t>MOSFET P-CH −30 V / −4 A, 0,041 Ω, SOT-23 (AO3401A)</t>
        </is>
      </c>
      <c r="D40" s="55" t="n">
        <v>5</v>
      </c>
      <c r="E40" s="56" t="n">
        <v>0.85</v>
      </c>
      <c r="F40" s="55" t="inlineStr"/>
    </row>
    <row r="41">
      <c r="A41" s="55" t="inlineStr">
        <is>
          <t>Reichelt</t>
        </is>
      </c>
      <c r="B41" s="55" t="inlineStr">
        <is>
          <t>AO3401A</t>
        </is>
      </c>
      <c r="C41" s="57" t="inlineStr">
        <is>
          <t>Versand DHL</t>
        </is>
      </c>
      <c r="D41" s="55" t="inlineStr">
        <is>
          <t>–</t>
        </is>
      </c>
      <c r="E41" s="56" t="n">
        <v>5.95</v>
      </c>
      <c r="F41" s="55" t="n"/>
    </row>
    <row r="42">
      <c r="A42" s="58" t="inlineStr">
        <is>
          <t>Summe Reichelt</t>
        </is>
      </c>
      <c r="B42" s="58" t="n"/>
      <c r="C42" s="58" t="n"/>
      <c r="D42" s="58" t="n"/>
      <c r="E42" s="59" t="n">
        <v>6.8</v>
      </c>
      <c r="F42" s="58" t="n"/>
    </row>
    <row r="43"/>
    <row r="44">
      <c r="A44" s="60" t="inlineStr">
        <is>
          <t>GESAMT</t>
        </is>
      </c>
      <c r="B44" s="60" t="n"/>
      <c r="C44" s="60" t="inlineStr">
        <is>
          <t>69,52 + 35,46 + 10,35 + 6,80</t>
        </is>
      </c>
      <c r="D44" s="60" t="n"/>
      <c r="E44" s="61" t="n">
        <v>122.13</v>
      </c>
      <c r="F44" s="60" t="n"/>
    </row>
    <row r="45"/>
    <row r="46">
      <c r="A46" t="inlineStr">
        <is>
          <t>Nicht bestellt: microSD-Sniffer (passt nicht), PLA (Schule/Betrieb).</t>
        </is>
      </c>
    </row>
  </sheetData>
  <mergeCells count="3">
    <mergeCell ref="A2:F2"/>
    <mergeCell ref="A1:F1"/>
    <mergeCell ref="A46:F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2026-10-08T09:53:19Z</dcterms:created>
  <dcterms:modified xmlns:dcterms="http://purl.org/dc/terms/" xmlns:xsi="http://www.w3.org/2001/XMLSchema-instance" xsi:type="dcterms:W3CDTF">2026-10-16T09:30:03Z</dcterms:modified>
  <cp:revision>0</cp:revision>
</cp:coreProperties>
</file>