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Vorkalkulation" sheetId="1" state="visible" r:id="rId3"/>
    <sheet name="Gestrich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<sst xmlns="http://schemas.openxmlformats.org/spreadsheetml/2006/main" count="265" uniqueCount="211">
  <si>
    <t xml:space="preserve">Vorkalkulation HydroDesk Base (Rechteck-Version, ESP32 mit Touch-Display)</t>
  </si>
  <si>
    <t xml:space="preserve">Stand 09.10.2026 (V4: Stromsparen H1/H2, Preise der neuen Teile am 09.10.2026 auf den Shopseiten abgelesen und geprüft; übrige Preise 08.10.2026): Preise inkl. MwSt. ohne Anmeldung abgelesen auf Amazon.de, Berrybase.de, Reichelt.de, alleschrauben.de und AliExpress (nur ab-Preis laut Suchliste). Basis: Korb „Schnell (DE-Shops, 1–3 Tage)“ aus Einkaufsliste_HydroDesk_guenstig.xlsx. Preise können sich ändern.</t>
  </si>
  <si>
    <t xml:space="preserve">Pos.</t>
  </si>
  <si>
    <t xml:space="preserve">Bauteil</t>
  </si>
  <si>
    <t xml:space="preserve">Produkt</t>
  </si>
  <si>
    <t xml:space="preserve">Inhalt Packung</t>
  </si>
  <si>
    <t xml:space="preserve">Status</t>
  </si>
  <si>
    <t xml:space="preserve">Preis (€)</t>
  </si>
  <si>
    <t xml:space="preserve">Link</t>
  </si>
  <si>
    <t xml:space="preserve">Hinweis</t>
  </si>
  <si>
    <t xml:space="preserve">ESP32 + Touch-Display</t>
  </si>
  <si>
    <t xml:space="preserve">Fastsaw ESP32 mit 2,8" ILI9341 Touch (320×240), USB-C, TF-Slot</t>
  </si>
  <si>
    <t xml:space="preserve">1 Stk.</t>
  </si>
  <si>
    <t xml:space="preserve">übernommen</t>
  </si>
  <si>
    <t xml:space="preserve">https://www.amazon.de/dp/B0G1N16Q16</t>
  </si>
  <si>
    <t xml:space="preserve">Amazon. Board-Typ ESP32-2432S028R („Cheap Yellow Display“). Prüfen, ob JST-1,25-Kabel beiliegt (sonst Pos. 19)</t>
  </si>
  <si>
    <t xml:space="preserve">Wägezelle + Verstärker</t>
  </si>
  <si>
    <t xml:space="preserve">DIYmalls Wägezelle 5 kg + HX711</t>
  </si>
  <si>
    <t xml:space="preserve">1 Set</t>
  </si>
  <si>
    <t xml:space="preserve">https://www.amazon.de/dp/B0B9H3YMT2</t>
  </si>
  <si>
    <t xml:space="preserve">Amazon. Keine Schrauben dabei (→ Pos. 12/13); HX711-Stiftleiste selbst löten</t>
  </si>
  <si>
    <t xml:space="preserve">LED-Streifen (COB)</t>
  </si>
  <si>
    <t xml:space="preserve">BTF-LIGHTING WS2812B FCOB, 1 m, 160 LED/m, 5 V, 5 mm, jede LED einzeln adressierbar</t>
  </si>
  <si>
    <t xml:space="preserve">1 m</t>
  </si>
  <si>
    <t xml:space="preserve">ersetzt (Design-Änderung)</t>
  </si>
  <si>
    <t xml:space="preserve">https://www.amazon.de/dp/B0H41MCVSW</t>
  </si>
  <si>
    <t xml:space="preserve">Amazon, Preis abgelesen 08.10.2026; Variante „1M 160LEDs/m 5mm“ wählen. 13 Segmente à 12,5 mm = 162,5 mm = 26 LEDs, hinter der gedruckten Diffusor-Leiste (Pos. 23) → durchgehende Lichtlinie. 330–470 Ω in DIN. Günstigste Alternative: AliExpress ab 7,59 € (https://de.aliexpress.com/item/1005006422072860.html, Preis der Variante nicht lesbar)</t>
  </si>
  <si>
    <t xml:space="preserve">Feuchtigkeitssensor</t>
  </si>
  <si>
    <t xml:space="preserve">Regensensor LM393 mit digitalem und analogem Ausgang</t>
  </si>
  <si>
    <t xml:space="preserve">ersetzt (günstiger)</t>
  </si>
  <si>
    <t xml:space="preserve">https://www.berrybase.de/regensensor-mit-digitalem-und-analogem-ausgang</t>
  </si>
  <si>
    <t xml:space="preserve">Berrybase. Gleiches Bauteil wie vorher, statt Aihasd 2er-Pack 5,99 €</t>
  </si>
  <si>
    <t xml:space="preserve">LED-Strom + Ein/Aus (P-MOSFET)</t>
  </si>
  <si>
    <t xml:space="preserve">Alpha &amp; Omega AO3401A, P-Kanal, −30 V, −4 A, SOT-23</t>
  </si>
  <si>
    <t xml:space="preserve">2 Stk.</t>
  </si>
  <si>
    <t xml:space="preserve">ersetzt (Design-Änderung V4)</t>
  </si>
  <si>
    <t xml:space="preserve">https://www.reichelt.de/de/de/shop/produkt/mosfet_p-ch_-30v_-4a_0_041r_sot-23-166486</t>
  </si>
  <si>
    <t xml:space="preserve">Reichelt, 2 × 0,17 €, ab Lager. Q1 schaltet die 5 V des LED-Streifens (High-Side, GPIO18 über BC547B), Q2 den Akku (Ein/Aus-Schalter). Ersetzt das GERUI-Modul (Low-Side, 3,3-V-Ansteuerung kritisch). Bei Berrybase kein P-MOSFET im Sortiment → eigener Reichelt-Versand (Zeile Versand Reichelt). Tipp: 1 Stück Ersatz mitbestellen (+0,17 €)</t>
  </si>
  <si>
    <t xml:space="preserve">Akku</t>
  </si>
  <si>
    <t xml:space="preserve">EEMB LiPo 3,7 V 2000 mAh (LP103454), mit Schutzschaltung</t>
  </si>
  <si>
    <t xml:space="preserve">https://www.amazon.de/dp/B08214DJLJ</t>
  </si>
  <si>
    <t xml:space="preserve">Amazon. 34,5 × 56 × 10,6 mm passt ins Fach; Polarität am JST-PH-Stecker vor dem Anstecken messen</t>
  </si>
  <si>
    <t xml:space="preserve">Lademodul</t>
  </si>
  <si>
    <t xml:space="preserve">TC4056 USB-C Lademodul mit Schutz (10er-Pack)</t>
  </si>
  <si>
    <t xml:space="preserve">10 Stk.</t>
  </si>
  <si>
    <t xml:space="preserve">https://www.amazon.de/dp/B0F67KYB4F</t>
  </si>
  <si>
    <t xml:space="preserve">Amazon. Länge vor dem Einbau messen (Fach 26 mm); billige Module laden evtl. nur mit USB-A→C-Kabel</t>
  </si>
  <si>
    <t xml:space="preserve">5-V-Wandler</t>
  </si>
  <si>
    <t xml:space="preserve">Pololu S13V10F5, 5 V 1 A Step-Up/Step-Down</t>
  </si>
  <si>
    <t xml:space="preserve">neu</t>
  </si>
  <si>
    <t xml:space="preserve">https://www.berrybase.de/pololu-s13v10f5-5v-1a-step-up-step-down-converter</t>
  </si>
  <si>
    <t xml:space="preserve">Berrybase. Fest 5 V, Unterspannungs-Abschaltung; kleiner als das 37 × 17 mm Fach → mit Klebeband fixieren. Statt MT3608</t>
  </si>
  <si>
    <t xml:space="preserve">Gummifüße</t>
  </si>
  <si>
    <t xml:space="preserve">FIX&amp;FASTEN Fuß rund Ø10 mm, 4,5 mm hoch, selbstklebend</t>
  </si>
  <si>
    <t xml:space="preserve">4 Stk.</t>
  </si>
  <si>
    <t xml:space="preserve">https://www.berrybase.de/fix-fasten-selbstklebender-fuss-rund-oben-9-5mm-unten-10mm-hoehe-4-5mm-gummi-schwarz</t>
  </si>
  <si>
    <t xml:space="preserve">Berrybase. 4 × 0,15 €; passt in die Ø13-mm-Vertiefung. Statt InLine 20 Stk. 5,45 €</t>
  </si>
  <si>
    <t xml:space="preserve">Flaschen-Pad</t>
  </si>
  <si>
    <t xml:space="preserve">FICOFISE Silikonmatte 40 × 30 cm, 1,2 mm, rutschfest</t>
  </si>
  <si>
    <t xml:space="preserve">https://www.amazon.de/dp/B0GVNMS4DZ</t>
  </si>
  <si>
    <t xml:space="preserve">Amazon. Auf 86 × 86 mm zuschneiden; Silikon klebt kaum → Silikonkleber oder nur einlegen</t>
  </si>
  <si>
    <t xml:space="preserve">Schrauben M3</t>
  </si>
  <si>
    <t xml:space="preserve">Senkkopfschraube M3×12 Innensechskant DIN 7991, Edelstahl A2</t>
  </si>
  <si>
    <t xml:space="preserve">https://alleschrauben.de/Schrauben/Senkkopf/Senkkopfschrauben-DIN-7991/Senkkopfschrauben-M3x12-mit-Innensechskant-DIN-7991-Edelstahl-A2</t>
  </si>
  <si>
    <t xml:space="preserve">alleschrauben.de. 10 × 0,25 €, 8 werden gebraucht (Deckel, schneiden selbst ins 2,5-mm-Loch)</t>
  </si>
  <si>
    <t xml:space="preserve">Schrauben M4</t>
  </si>
  <si>
    <t xml:space="preserve">Senkkopfschraube M4×10 Innensechskant DIN 7991, Edelstahl A2</t>
  </si>
  <si>
    <t xml:space="preserve">https://alleschrauben.de/Schrauben/Senkkopf/Senkkopfschrauben-DIN-7991/Senkkopfschrauben-M4x10-mit-Innensechskant-DIN-7991-Edelstahl-A2</t>
  </si>
  <si>
    <t xml:space="preserve">alleschrauben.de. 2 × 0,56 €; Wägezelle, M4-Seite</t>
  </si>
  <si>
    <t xml:space="preserve">Schrauben M5</t>
  </si>
  <si>
    <t xml:space="preserve">Senkkopfschraube M5×12 Innensechskant DIN 7991, Edelstahl A2</t>
  </si>
  <si>
    <t xml:space="preserve">https://alleschrauben.de/Schrauben/Senkkopf/Senkkopfschrauben-DIN-7991/Senkkopfschrauben-M5x12-mit-Innensechskant-DIN-7991-Edelstahl-A2</t>
  </si>
  <si>
    <t xml:space="preserve">alleschrauben.de. 2 × 0,62 €; Wägezelle, M5-Seite</t>
  </si>
  <si>
    <t xml:space="preserve">Widerstände</t>
  </si>
  <si>
    <t xml:space="preserve">Metallschichtwiderstand 10 kΩ, 1/4 W, 1 %</t>
  </si>
  <si>
    <t xml:space="preserve">https://www.berrybase.de/metallschichtwiderstand-10-0-kohm-1-4w-1-0207-axial-durchsteckmontage</t>
  </si>
  <si>
    <t xml:space="preserve">Berrybase. Spannungsteiler Akku → GPIO35. 100 kΩ dort nicht lieferbar; 2 × 10 kΩ = gleiches Verhältnis (Firmware gleich), ca. 0,2 mA Dauerstrom</t>
  </si>
  <si>
    <t xml:space="preserve">Litze</t>
  </si>
  <si>
    <t xml:space="preserve">Vierlingslitze 4 × 0,14 mm², 5 m (blau/gelb/rot/grün)</t>
  </si>
  <si>
    <t xml:space="preserve">5 m</t>
  </si>
  <si>
    <t xml:space="preserve">https://www.berrybase.de/vierlingslitze-isoliert-4x0-14mm-5m-farbe-blau-gelb-rot-gruen</t>
  </si>
  <si>
    <t xml:space="preserve">Berrybase. Verdrahtung im Gehäuse (gelötet)</t>
  </si>
  <si>
    <t xml:space="preserve">Schrumpfschlauch</t>
  </si>
  <si>
    <t xml:space="preserve">Schrumpfschlauch-Set 100-teilig, schwarz</t>
  </si>
  <si>
    <t xml:space="preserve">100 Stk.</t>
  </si>
  <si>
    <t xml:space="preserve">https://www.berrybase.de/schrumpfschlauch-set-100-teilig-in-sortimentsbox-schwarz</t>
  </si>
  <si>
    <t xml:space="preserve">Berrybase. Lötstellen isolieren</t>
  </si>
  <si>
    <t xml:space="preserve">Klebeband</t>
  </si>
  <si>
    <t xml:space="preserve">TESA doppelseitiges Klebeband 10 m × 12 mm</t>
  </si>
  <si>
    <t xml:space="preserve">1 Rolle</t>
  </si>
  <si>
    <t xml:space="preserve">https://www.berrybase.de/tesa-doppelseitiges-klebeband-10m-x-12mm-transparent-pp-traeger-loesungsmittelfrei</t>
  </si>
  <si>
    <t xml:space="preserve">Berrybase. Module fixieren; nur 1 Stk. auf Lager (Alternative: Heißkleber)</t>
  </si>
  <si>
    <t xml:space="preserve">Kabelbinder</t>
  </si>
  <si>
    <t xml:space="preserve">Kabelbinder UV-beständig 100 × 2,5 mm</t>
  </si>
  <si>
    <t xml:space="preserve">https://www.berrybase.de/kabelbinder-uv-bestaendig-nylon-100-stueck/farbe-transparent/masse-100x2-5mm</t>
  </si>
  <si>
    <t xml:space="preserve">Berrybase. Kabel ordnen</t>
  </si>
  <si>
    <t xml:space="preserve">JST-Kabel CYD</t>
  </si>
  <si>
    <t xml:space="preserve">Micro JST 1,25 mm Stecker + Buchse mit Kabel (4-polig wählen)</t>
  </si>
  <si>
    <t xml:space="preserve">Set</t>
  </si>
  <si>
    <t xml:space="preserve">nur AliExpress</t>
  </si>
  <si>
    <t xml:space="preserve">https://de.aliexpress.com/item/4001171710583.html</t>
  </si>
  <si>
    <t xml:space="preserve">NUR ALIEXPRESS, ab-Preis laut Suchliste, 1–3 Wochen. Für CN1/P3/P1. Entfällt, wenn Kabel beim CYD dabei sind oder direkt angelötet wird</t>
  </si>
  <si>
    <t xml:space="preserve">microSD-Sniffer</t>
  </si>
  <si>
    <t xml:space="preserve">Micro SD Sniffer TF-Adapterplatine</t>
  </si>
  <si>
    <t xml:space="preserve">https://de.aliexpress.com/item/1005009886368149.html</t>
  </si>
  <si>
    <t xml:space="preserve">NUR ALIEXPRESS, ab-Preis laut Suchliste, 1–3 Wochen. Für GPIO 18/19/23 am SD-Slot; entfällt, wenn an die Lötpunkte gelötet wird</t>
  </si>
  <si>
    <t xml:space="preserve">Gehäuse-Material</t>
  </si>
  <si>
    <t xml:space="preserve">SUNLU PLA 1,75 mm, 1 kg</t>
  </si>
  <si>
    <t xml:space="preserve">1 kg</t>
  </si>
  <si>
    <t xml:space="preserve">Preis aktualisiert</t>
  </si>
  <si>
    <t xml:space="preserve">https://www.amazon.de/dp/B0BTHSVQ89</t>
  </si>
  <si>
    <t xml:space="preserve">Amazon. Angebot 11,29 € abgelaufen. Ca. 128 g nötig (Unterschale ca. 80, Deckel 16, Pad 27, Kappe 1, Diffusor ca. 4, Klemmkeile unter 1); entfällt, wenn die Schule Filament stellt</t>
  </si>
  <si>
    <t xml:space="preserve">Abdeckkappe</t>
  </si>
  <si>
    <t xml:space="preserve">Steckbare Kappe für die CYD-USB-Öffnung (3D-Druck)</t>
  </si>
  <si>
    <t xml:space="preserve">Aus dem PLA von oben gedruckt (ca. 1 g), keine Extrakosten</t>
  </si>
  <si>
    <t xml:space="preserve">Diffusor-Leiste</t>
  </si>
  <si>
    <t xml:space="preserve">Gedruckte Diffusor-Leiste vor dem LED-Streifen (3D-Druck, 166,7 × 16,7 × 1 mm)</t>
  </si>
  <si>
    <t xml:space="preserve">Aus weißem PLA oder naturfarbenem PETG gedruckt (ca. 4 g, 1 mm, 100 % Füllung, flach). Keine Extrakosten, wenn das PLA von Pos. 21 weiß ist oder die Schule weißes Filament stellt</t>
  </si>
  <si>
    <t xml:space="preserve">Treiber-Transistor</t>
  </si>
  <si>
    <t xml:space="preserve">BC547B, NPN, 45 V, 100 mA, TO-92</t>
  </si>
  <si>
    <t xml:space="preserve">neu (V4)</t>
  </si>
  <si>
    <t xml:space="preserve">https://www.berrybase.de/bc547b-bipolarer-transistor-npn-45v-100ma-to-92-3-pin</t>
  </si>
  <si>
    <t xml:space="preserve">Berrybase. Schaltet das Gate von Q1 (GPIO18 → 4,7 kΩ → Basis)</t>
  </si>
  <si>
    <t xml:space="preserve">Widerstand 470 Ω</t>
  </si>
  <si>
    <t xml:space="preserve">Metallschichtwiderstand 470 Ω, 1/4 W, 1 %</t>
  </si>
  <si>
    <t xml:space="preserve">https://www.berrybase.de/metallschichtwiderstand-470-0-ohm-1-4w-1-0207-axial-durchsteckmontage</t>
  </si>
  <si>
    <t xml:space="preserve">Berrybase. In die Datenleitung DIN direkt am LED-Streifen</t>
  </si>
  <si>
    <t xml:space="preserve">Widerstand 4,7 kΩ</t>
  </si>
  <si>
    <t xml:space="preserve">Metallschichtwiderstand 4,7 kΩ, 1/4 W, 1 %</t>
  </si>
  <si>
    <t xml:space="preserve">https://www.berrybase.de/metallschichtwiderstand-4-7-kohm-1-4w-1-0207-axial-durchsteckmontage</t>
  </si>
  <si>
    <t xml:space="preserve">Berrybase. GPIO18 → Basis BC547B</t>
  </si>
  <si>
    <t xml:space="preserve">Widerstand 47 kΩ</t>
  </si>
  <si>
    <t xml:space="preserve">Metallschichtwiderstand 47 kΩ, 1/4 W, 1 %</t>
  </si>
  <si>
    <t xml:space="preserve">https://www.berrybase.de/metallschichtwiderstand-47-0-kohm-1-4w-1-0207-axial-durchsteckmontage</t>
  </si>
  <si>
    <t xml:space="preserve">Berrybase. 2 × 0,05 €: Basis→GND (BC547B) und Gate→Source Q2 (Akku-Schalter)</t>
  </si>
  <si>
    <t xml:space="preserve">Widerstand 10 kΩ</t>
  </si>
  <si>
    <t xml:space="preserve">Berrybase. Gate→Source Q1 (LED-Strom standardmäßig aus); zusätzlich zu den 2 Stk. aus Pos. 14</t>
  </si>
  <si>
    <t xml:space="preserve">SOT-23-Adapter</t>
  </si>
  <si>
    <t xml:space="preserve">SMD-Breakout-Adapter SOT23 / SSOP10 / MSOP10, 10 Pin</t>
  </si>
  <si>
    <t xml:space="preserve">https://www.berrybase.de/smd-breakout-adapter-fuer-sot23-ssop10-msop10-10-pin-0-50mm-0-95mm</t>
  </si>
  <si>
    <t xml:space="preserve">Berrybase. 2 × 0,32 €; je ein AO3401A darauf löten (SOT-23 ist zu klein für Lochraster). Stiftleiste: Pos. 34</t>
  </si>
  <si>
    <t xml:space="preserve">Elko</t>
  </si>
  <si>
    <t xml:space="preserve">Elektrolytkondensator 470 µF, 25 V, 105 °C, radial (Ø 10 × 16 mm)</t>
  </si>
  <si>
    <t xml:space="preserve">https://www.berrybase.de/elektrolytkondensator-470-f-25v-1050c-1-radial-tht</t>
  </si>
  <si>
    <t xml:space="preserve">Berrybase. 5 V → GND vor Q1 (fängt Lastsprünge des Streifens ab); liegt auf der FET-Platine</t>
  </si>
  <si>
    <t xml:space="preserve">Lochrasterplatine</t>
  </si>
  <si>
    <t xml:space="preserve">Lochrasterplatine 9 × 15 cm, einseitig Kupfer</t>
  </si>
  <si>
    <t xml:space="preserve">https://www.berrybase.de/lochrasterplatine-9x15cm-mit-einseitiger-kupferauflage</t>
  </si>
  <si>
    <t xml:space="preserve">Berrybase. Auf 30 × 24,5 mm zuschneiden (FET-Platine). Achtung: Titel „9 × 15 cm“, laut technischen Daten aber 70,5 × 50,4 × 1 mm – reicht in beiden Fällen. 5 × 7 cm (0,30 €) ist aktuell nicht lieferbar</t>
  </si>
  <si>
    <t xml:space="preserve">Ein/Aus-Schalter</t>
  </si>
  <si>
    <t xml:space="preserve">Schiebeschalter C&amp;K OS102011MS2QN1, 1× Um (ON-ON), 8,6 × 4,3 × 4 mm, Printmontage</t>
  </si>
  <si>
    <t xml:space="preserve">https://www.berrybase.de/schiebeschalter-printmontage-on-on-2-stellig-8.6x4.3x4mm-gerade</t>
  </si>
  <si>
    <t xml:space="preserve">Berrybase. Schaltet nur das Gate von Q2 (ca. 0,08 mA; Schalter verträgt 0,1 A) → Akku wirklich aus. Sitzt in der linken Wand, Schieber oben = AN</t>
  </si>
  <si>
    <t xml:space="preserve">Klemmkeile Schalter</t>
  </si>
  <si>
    <t xml:space="preserve">2 gedruckte Klemmkeile für den Ein/Aus-Schalter (3D-Druck)</t>
  </si>
  <si>
    <t xml:space="preserve">Aus dem PLA von Pos. 21 gedruckt (unter 1 g), keine Extrakosten</t>
  </si>
  <si>
    <t xml:space="preserve">Stiftleiste</t>
  </si>
  <si>
    <t xml:space="preserve">Stiftleiste 1× 20-polig, RM 2,54 mm, gerade</t>
  </si>
  <si>
    <t xml:space="preserve">https://www.berrybase.de/stiftleiste-1x-20-polig-rm-2-54-gerade</t>
  </si>
  <si>
    <t xml:space="preserve">Berrybase. Für die 2 SOT-23-Adapter (Pos. 29), die ohne Stiftleiste geliefert werden; je Adapter 3–5 Stifte abbrechen</t>
  </si>
  <si>
    <t xml:space="preserve">Summe Bauteile</t>
  </si>
  <si>
    <t xml:space="preserve">Versand</t>
  </si>
  <si>
    <t xml:space="preserve">Versand Amazon</t>
  </si>
  <si>
    <t xml:space="preserve">Frei ab 49 € (nur Artikel mit „Versand durch Amazon“), sonst 3,99 € – im Warenkorb prüfen</t>
  </si>
  <si>
    <t xml:space="preserve">Versand Berrybase</t>
  </si>
  <si>
    <t xml:space="preserve">DHL 4,95 €, frei ab 150 €</t>
  </si>
  <si>
    <t xml:space="preserve">Versand Reichelt</t>
  </si>
  <si>
    <t xml:space="preserve">Reichelt: Versandkosten ab 5,95 € (Produktseite AO3401A, 09.10.2026); nur für Pos. 5</t>
  </si>
  <si>
    <t xml:space="preserve">Versand alleschrauben.de</t>
  </si>
  <si>
    <t xml:space="preserve">Nicht lesbar – wird erst im Warenkorb angezeigt (frei ab 79 €), im Warenkorb prüfen</t>
  </si>
  <si>
    <t xml:space="preserve">Versand AliExpress (Pos. 19/20)</t>
  </si>
  <si>
    <t xml:space="preserve">Nicht lesbar – im Warenkorb prüfen (Choice-Artikel meist frei ab 10 €)</t>
  </si>
  <si>
    <t xml:space="preserve">Summe Versand (bekannt)</t>
  </si>
  <si>
    <t xml:space="preserve">Puffer 10 % (Verschnitt, Ersatz, unbekannter Versand)</t>
  </si>
  <si>
    <t xml:space="preserve">Gesamt geplant</t>
  </si>
  <si>
    <t xml:space="preserve">Gesamt ohne PLA (falls die Schule druckt)</t>
  </si>
  <si>
    <t xml:space="preserve">Amazon bleibt auch ohne PLA über 49 € → Versand unverändert</t>
  </si>
  <si>
    <t xml:space="preserve">Optional (nicht in der Summe)</t>
  </si>
  <si>
    <t xml:space="preserve">Kabel (Test)</t>
  </si>
  <si>
    <t xml:space="preserve">Elegoo Jumperkabel-Set</t>
  </si>
  <si>
    <t xml:space="preserve">optional</t>
  </si>
  <si>
    <t xml:space="preserve">https://www.amazon.de/dp/B01EV70C78</t>
  </si>
  <si>
    <t xml:space="preserve">Amazon. Nur für einen Breadboard-Testaufbau; im fertigen Gerät wird mit Litze gelötet</t>
  </si>
  <si>
    <t xml:space="preserve">Akku-Verlängerung</t>
  </si>
  <si>
    <t xml:space="preserve">Verlängerungskabel 2-polig JST-PH 2.0, Stecker/Buchse, 50 cm</t>
  </si>
  <si>
    <t xml:space="preserve">https://www.berrybase.de/verlaengerungskabel-2-pin-jst-ph-2.0mm-stecker-buchse-awg24-50cm</t>
  </si>
  <si>
    <t xml:space="preserve">Berrybase. Damit der Akku-Stecker nicht abgeschnitten werden muss</t>
  </si>
  <si>
    <t xml:space="preserve">Gestrichenes Teil</t>
  </si>
  <si>
    <t xml:space="preserve">Grund</t>
  </si>
  <si>
    <t xml:space="preserve">AZDelivery ESP32 DevKit 3er-Pack (B074RGW2VQ), 21,99 €</t>
  </si>
  <si>
    <t xml:space="preserve">ESP32 ist jetzt im Display-Board eingebaut</t>
  </si>
  <si>
    <t xml:space="preserve">Fasizi 2,8" ILI9341 Touch-Display (B09Z29CGY1), 10,99 €</t>
  </si>
  <si>
    <t xml:space="preserve">Ersetzt durch Fastsaw ESP32-Display-Board</t>
  </si>
  <si>
    <t xml:space="preserve">Rundes GC9A01-Display (B0DB5MR27T)</t>
  </si>
  <si>
    <t xml:space="preserve">Rechteckiges Design</t>
  </si>
  <si>
    <t xml:space="preserve">WS2812 LED-Ring (B0GYF2PHV1)</t>
  </si>
  <si>
    <t xml:space="preserve">Ersetzt durch LED-Leiste an der Vorderkante</t>
  </si>
  <si>
    <t xml:space="preserve">Blumtal Trinkflasche (B09FDZX7LC)</t>
  </si>
  <si>
    <t xml:space="preserve">Keine eigene Flasche mehr, jede Flasche passt</t>
  </si>
  <si>
    <t xml:space="preserve">O-Ringe (B0DC69DWRT)</t>
  </si>
  <si>
    <t xml:space="preserve">Waren für die Flaschen-Abdichtung, nicht mehr nötig</t>
  </si>
  <si>
    <t xml:space="preserve">Aihasd Regensensor LM393 2er-Pack (B017M1NJR0), 5,99 €</t>
  </si>
  <si>
    <t xml:space="preserve">Ersetzt durch gleichwertigen Regensensor von Berrybase (1,80 €)</t>
  </si>
  <si>
    <t xml:space="preserve">InLine Gummipuffer 12 mm, 20 Stk. (B09LDCTQGY), 5,45 €</t>
  </si>
  <si>
    <t xml:space="preserve">Ersetzt durch Berrybase FIX&amp;FASTEN Ø10 mm, 4 Stk. (0,60 €); nur 4 Stück nötig</t>
  </si>
  <si>
    <t xml:space="preserve">MT3608 Step-up-Wandler (z. B. AZDelivery B07YWKN9NW)</t>
  </si>
  <si>
    <t xml:space="preserve">Nicht genommen: Spannung per Poti, bei 3,7 → 5 V laut Rezensionen nur ca. 0,5 A; Angebot derzeit nicht verfügbar → Pololu S13V10F5</t>
  </si>
  <si>
    <t xml:space="preserve">BTF-LIGHTING WS2812 ECO LED-Streifen 1 m, 60 LED/m, 10 mm (B088BRY2SH), 9,49 €</t>
  </si>
  <si>
    <t xml:space="preserve">Ersetzt durch COB-Streifen BTF-LIGHTING WS2812B FCOB (B0H41MCVSW): einzelne LEDs als Punkte sichtbar und 10 mm breit; der COB-Streifen ist 5 mm schmal und gibt hinter der Diffusor-Leiste eine gleichmäßige Lichtlinie (26 statt 10 LEDs)</t>
  </si>
  <si>
    <t xml:space="preserve">GERUI FET-Schaltmodul DC 5–36 V, 8er-Pack (B0DG8B58PM), 6,49 €</t>
  </si>
  <si>
    <t xml:space="preserve">Ersetzt am 09.10.2026 (V4, Stromsparplan H1): schaltet nur Low-Side (GND) und ist mit 3,3 V am Gate unsicher. Jetzt P-MOSFET AO3401A (High-Side, Reichelt) mit Treiber BC547B; ein zweiter AO3401A schaltet mit dem Ein/Aus-Schalter den Akku (H2)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</si>
</sst>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B2"/>
        <bgColor rgb="FF0563C1"/>
      </patternFill>
    </fill>
    <fill>
      <patternFill patternType="solid">
        <fgColor rgb="FFE2F0D9"/>
        <bgColor rgb="FFFFF2CC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B2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de/dp/B0G1N16Q16" TargetMode="External"/><Relationship Id="rId2" Type="http://schemas.openxmlformats.org/officeDocument/2006/relationships/hyperlink" Target="https://www.amazon.de/dp/B0B9H3YMT2" TargetMode="External"/><Relationship Id="rId3" Type="http://schemas.openxmlformats.org/officeDocument/2006/relationships/hyperlink" Target="https://www.amazon.de/dp/B0H41MCVSW" TargetMode="External"/><Relationship Id="rId4" Type="http://schemas.openxmlformats.org/officeDocument/2006/relationships/hyperlink" Target="https://www.berrybase.de/regensensor-mit-digitalem-und-analogem-ausgang" TargetMode="External"/><Relationship Id="rId5" Type="http://schemas.openxmlformats.org/officeDocument/2006/relationships/hyperlink" Target="https://www.reichelt.de/de/de/shop/produkt/mosfet_p-ch_-30v_-4a_0_041r_sot-23-166486" TargetMode="External"/><Relationship Id="rId6" Type="http://schemas.openxmlformats.org/officeDocument/2006/relationships/hyperlink" Target="https://www.amazon.de/dp/B08214DJLJ" TargetMode="External"/><Relationship Id="rId7" Type="http://schemas.openxmlformats.org/officeDocument/2006/relationships/hyperlink" Target="https://www.amazon.de/dp/B0F67KYB4F" TargetMode="External"/><Relationship Id="rId8" Type="http://schemas.openxmlformats.org/officeDocument/2006/relationships/hyperlink" Target="https://www.berrybase.de/pololu-s13v10f5-5v-1a-step-up-step-down-converter" TargetMode="External"/><Relationship Id="rId9" Type="http://schemas.openxmlformats.org/officeDocument/2006/relationships/hyperlink" Target="https://www.berrybase.de/fix-fasten-selbstklebender-fuss-rund-oben-9-5mm-unten-10mm-hoehe-4-5mm-gummi-schwarz" TargetMode="External"/><Relationship Id="rId10" Type="http://schemas.openxmlformats.org/officeDocument/2006/relationships/hyperlink" Target="https://www.amazon.de/dp/B0GVNMS4DZ" TargetMode="External"/><Relationship Id="rId11" Type="http://schemas.openxmlformats.org/officeDocument/2006/relationships/hyperlink" Target="https://alleschrauben.de/Schrauben/Senkkopf/Senkkopfschrauben-DIN-7991/Senkkopfschrauben-M3x12-mit-Innensechskant-DIN-7991-Edelstahl-A2" TargetMode="External"/><Relationship Id="rId12" Type="http://schemas.openxmlformats.org/officeDocument/2006/relationships/hyperlink" Target="https://alleschrauben.de/Schrauben/Senkkopf/Senkkopfschrauben-DIN-7991/Senkkopfschrauben-M4x10-mit-Innensechskant-DIN-7991-Edelstahl-A2" TargetMode="External"/><Relationship Id="rId13" Type="http://schemas.openxmlformats.org/officeDocument/2006/relationships/hyperlink" Target="https://alleschrauben.de/Schrauben/Senkkopf/Senkkopfschrauben-DIN-7991/Senkkopfschrauben-M5x12-mit-Innensechskant-DIN-7991-Edelstahl-A2" TargetMode="External"/><Relationship Id="rId14" Type="http://schemas.openxmlformats.org/officeDocument/2006/relationships/hyperlink" Target="https://www.berrybase.de/metallschichtwiderstand-10-0-kohm-1-4w-1-0207-axial-durchsteckmontage" TargetMode="External"/><Relationship Id="rId15" Type="http://schemas.openxmlformats.org/officeDocument/2006/relationships/hyperlink" Target="https://www.berrybase.de/vierlingslitze-isoliert-4x0-14mm-5m-farbe-blau-gelb-rot-gruen" TargetMode="External"/><Relationship Id="rId16" Type="http://schemas.openxmlformats.org/officeDocument/2006/relationships/hyperlink" Target="https://www.berrybase.de/schrumpfschlauch-set-100-teilig-in-sortimentsbox-schwarz" TargetMode="External"/><Relationship Id="rId17" Type="http://schemas.openxmlformats.org/officeDocument/2006/relationships/hyperlink" Target="https://www.berrybase.de/tesa-doppelseitiges-klebeband-10m-x-12mm-transparent-pp-traeger-loesungsmittelfrei" TargetMode="External"/><Relationship Id="rId18" Type="http://schemas.openxmlformats.org/officeDocument/2006/relationships/hyperlink" Target="https://www.berrybase.de/kabelbinder-uv-bestaendig-nylon-100-stueck/farbe-transparent/masse-100x2-5mm" TargetMode="External"/><Relationship Id="rId19" Type="http://schemas.openxmlformats.org/officeDocument/2006/relationships/hyperlink" Target="https://de.aliexpress.com/item/4001171710583.html" TargetMode="External"/><Relationship Id="rId20" Type="http://schemas.openxmlformats.org/officeDocument/2006/relationships/hyperlink" Target="https://de.aliexpress.com/item/1005009886368149.html" TargetMode="External"/><Relationship Id="rId21" Type="http://schemas.openxmlformats.org/officeDocument/2006/relationships/hyperlink" Target="https://www.amazon.de/dp/B0BTHSVQ89" TargetMode="External"/><Relationship Id="rId22" Type="http://schemas.openxmlformats.org/officeDocument/2006/relationships/hyperlink" Target="https://www.berrybase.de/bc547b-bipolarer-transistor-npn-45v-100ma-to-92-3-pin" TargetMode="External"/><Relationship Id="rId23" Type="http://schemas.openxmlformats.org/officeDocument/2006/relationships/hyperlink" Target="https://www.berrybase.de/metallschichtwiderstand-470-0-ohm-1-4w-1-0207-axial-durchsteckmontage" TargetMode="External"/><Relationship Id="rId24" Type="http://schemas.openxmlformats.org/officeDocument/2006/relationships/hyperlink" Target="https://www.berrybase.de/metallschichtwiderstand-4-7-kohm-1-4w-1-0207-axial-durchsteckmontage" TargetMode="External"/><Relationship Id="rId25" Type="http://schemas.openxmlformats.org/officeDocument/2006/relationships/hyperlink" Target="https://www.berrybase.de/metallschichtwiderstand-47-0-kohm-1-4w-1-0207-axial-durchsteckmontage" TargetMode="External"/><Relationship Id="rId26" Type="http://schemas.openxmlformats.org/officeDocument/2006/relationships/hyperlink" Target="https://www.berrybase.de/metallschichtwiderstand-10-0-kohm-1-4w-1-0207-axial-durchsteckmontage" TargetMode="External"/><Relationship Id="rId27" Type="http://schemas.openxmlformats.org/officeDocument/2006/relationships/hyperlink" Target="https://www.berrybase.de/smd-breakout-adapter-fuer-sot23-ssop10-msop10-10-pin-0-50mm-0-95mm" TargetMode="External"/><Relationship Id="rId28" Type="http://schemas.openxmlformats.org/officeDocument/2006/relationships/hyperlink" Target="https://www.berrybase.de/elektrolytkondensator-470-f-25v-1050c-1-radial-tht" TargetMode="External"/><Relationship Id="rId29" Type="http://schemas.openxmlformats.org/officeDocument/2006/relationships/hyperlink" Target="https://www.berrybase.de/lochrasterplatine-9x15cm-mit-einseitiger-kupferauflage" TargetMode="External"/><Relationship Id="rId30" Type="http://schemas.openxmlformats.org/officeDocument/2006/relationships/hyperlink" Target="https://www.berrybase.de/schiebeschalter-printmontage-on-on-2-stellig-8.6x4.3x4mm-gerade" TargetMode="External"/><Relationship Id="rId31" Type="http://schemas.openxmlformats.org/officeDocument/2006/relationships/hyperlink" Target="https://www.berrybase.de/stiftleiste-1x-20-polig-rm-2-54-gerad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4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1"/>
    <col collapsed="false" customWidth="true" hidden="false" outlineLevel="0" max="7" min="7" style="1" width="36"/>
    <col collapsed="false" customWidth="true" hidden="false" outlineLevel="0" max="8" min="8" style="1" width="5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false" outlineLevel="0" collapsed="false"/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27.75" hidden="false" customHeight="true" outlineLevel="0" collapsed="false">
      <c r="A5" s="5" t="n">
        <v>1</v>
      </c>
      <c r="B5" s="5" t="s">
        <v>10</v>
      </c>
      <c r="C5" s="5" t="s">
        <v>11</v>
      </c>
      <c r="D5" s="5" t="s">
        <v>12</v>
      </c>
      <c r="E5" s="5" t="s">
        <v>13</v>
      </c>
      <c r="F5" s="6" t="n">
        <v>17.99</v>
      </c>
      <c r="G5" s="7" t="s">
        <v>14</v>
      </c>
      <c r="H5" s="5" t="s">
        <v>15</v>
      </c>
    </row>
    <row r="6" customFormat="false" ht="27.75" hidden="false" customHeight="true" outlineLevel="0" collapsed="false">
      <c r="A6" s="5" t="n">
        <v>2</v>
      </c>
      <c r="B6" s="5" t="s">
        <v>16</v>
      </c>
      <c r="C6" s="5" t="s">
        <v>17</v>
      </c>
      <c r="D6" s="5" t="s">
        <v>18</v>
      </c>
      <c r="E6" s="5" t="s">
        <v>13</v>
      </c>
      <c r="F6" s="6" t="n">
        <v>8.97</v>
      </c>
      <c r="G6" s="7" t="s">
        <v>19</v>
      </c>
      <c r="H6" s="5" t="s">
        <v>20</v>
      </c>
    </row>
    <row r="7" customFormat="false" ht="95.25" hidden="false" customHeight="true" outlineLevel="0" collapsed="false">
      <c r="A7" s="5" t="n">
        <v>3</v>
      </c>
      <c r="B7" s="5" t="s">
        <v>21</v>
      </c>
      <c r="C7" s="5" t="s">
        <v>22</v>
      </c>
      <c r="D7" s="5" t="s">
        <v>23</v>
      </c>
      <c r="E7" s="8" t="s">
        <v>24</v>
      </c>
      <c r="F7" s="6" t="n">
        <v>16.99</v>
      </c>
      <c r="G7" s="7" t="s">
        <v>25</v>
      </c>
      <c r="H7" s="5" t="s">
        <v>26</v>
      </c>
    </row>
    <row r="8" customFormat="false" ht="27.75" hidden="false" customHeight="true" outlineLevel="0" collapsed="false">
      <c r="A8" s="5" t="n">
        <v>4</v>
      </c>
      <c r="B8" s="5" t="s">
        <v>27</v>
      </c>
      <c r="C8" s="5" t="s">
        <v>28</v>
      </c>
      <c r="D8" s="5" t="s">
        <v>18</v>
      </c>
      <c r="E8" s="8" t="s">
        <v>29</v>
      </c>
      <c r="F8" s="6" t="n">
        <v>1.8</v>
      </c>
      <c r="G8" s="7" t="s">
        <v>30</v>
      </c>
      <c r="H8" s="5" t="s">
        <v>31</v>
      </c>
    </row>
    <row r="9" customFormat="false" ht="81.75" hidden="false" customHeight="true" outlineLevel="0" collapsed="false">
      <c r="A9" s="5" t="n">
        <v>5</v>
      </c>
      <c r="B9" s="5" t="s">
        <v>32</v>
      </c>
      <c r="C9" s="5" t="s">
        <v>33</v>
      </c>
      <c r="D9" s="5" t="s">
        <v>34</v>
      </c>
      <c r="E9" s="5" t="s">
        <v>35</v>
      </c>
      <c r="F9" s="6" t="n">
        <v>0.34</v>
      </c>
      <c r="G9" s="7" t="s">
        <v>36</v>
      </c>
      <c r="H9" s="5" t="s">
        <v>37</v>
      </c>
    </row>
    <row r="10" customFormat="false" ht="27.75" hidden="false" customHeight="true" outlineLevel="0" collapsed="false">
      <c r="A10" s="5" t="n">
        <v>6</v>
      </c>
      <c r="B10" s="5" t="s">
        <v>38</v>
      </c>
      <c r="C10" s="5" t="s">
        <v>39</v>
      </c>
      <c r="D10" s="5" t="s">
        <v>12</v>
      </c>
      <c r="E10" s="5" t="s">
        <v>13</v>
      </c>
      <c r="F10" s="6" t="n">
        <v>10.99</v>
      </c>
      <c r="G10" s="7" t="s">
        <v>40</v>
      </c>
      <c r="H10" s="5" t="s">
        <v>41</v>
      </c>
    </row>
    <row r="11" customFormat="false" ht="27.75" hidden="false" customHeight="true" outlineLevel="0" collapsed="false">
      <c r="A11" s="5" t="n">
        <v>7</v>
      </c>
      <c r="B11" s="5" t="s">
        <v>42</v>
      </c>
      <c r="C11" s="5" t="s">
        <v>43</v>
      </c>
      <c r="D11" s="5" t="s">
        <v>44</v>
      </c>
      <c r="E11" s="5" t="s">
        <v>13</v>
      </c>
      <c r="F11" s="6" t="n">
        <v>6.99</v>
      </c>
      <c r="G11" s="7" t="s">
        <v>45</v>
      </c>
      <c r="H11" s="5" t="s">
        <v>46</v>
      </c>
    </row>
    <row r="12" customFormat="false" ht="27.75" hidden="false" customHeight="true" outlineLevel="0" collapsed="false">
      <c r="A12" s="5" t="n">
        <v>8</v>
      </c>
      <c r="B12" s="5" t="s">
        <v>47</v>
      </c>
      <c r="C12" s="5" t="s">
        <v>48</v>
      </c>
      <c r="D12" s="5" t="s">
        <v>12</v>
      </c>
      <c r="E12" s="8" t="s">
        <v>49</v>
      </c>
      <c r="F12" s="6" t="n">
        <v>9.95</v>
      </c>
      <c r="G12" s="7" t="s">
        <v>50</v>
      </c>
      <c r="H12" s="5" t="s">
        <v>51</v>
      </c>
    </row>
    <row r="13" customFormat="false" ht="27.75" hidden="false" customHeight="true" outlineLevel="0" collapsed="false">
      <c r="A13" s="5" t="n">
        <v>9</v>
      </c>
      <c r="B13" s="5" t="s">
        <v>52</v>
      </c>
      <c r="C13" s="5" t="s">
        <v>53</v>
      </c>
      <c r="D13" s="5" t="s">
        <v>54</v>
      </c>
      <c r="E13" s="8" t="s">
        <v>29</v>
      </c>
      <c r="F13" s="6" t="n">
        <v>0.6</v>
      </c>
      <c r="G13" s="7" t="s">
        <v>55</v>
      </c>
      <c r="H13" s="5" t="s">
        <v>56</v>
      </c>
    </row>
    <row r="14" customFormat="false" ht="27.75" hidden="false" customHeight="true" outlineLevel="0" collapsed="false">
      <c r="A14" s="5" t="n">
        <v>10</v>
      </c>
      <c r="B14" s="5" t="s">
        <v>57</v>
      </c>
      <c r="C14" s="5" t="s">
        <v>58</v>
      </c>
      <c r="D14" s="5" t="s">
        <v>12</v>
      </c>
      <c r="E14" s="5" t="s">
        <v>13</v>
      </c>
      <c r="F14" s="6" t="n">
        <v>7.59</v>
      </c>
      <c r="G14" s="7" t="s">
        <v>59</v>
      </c>
      <c r="H14" s="5" t="s">
        <v>60</v>
      </c>
    </row>
    <row r="15" customFormat="false" ht="27.75" hidden="false" customHeight="true" outlineLevel="0" collapsed="false">
      <c r="A15" s="5" t="n">
        <v>11</v>
      </c>
      <c r="B15" s="5" t="s">
        <v>61</v>
      </c>
      <c r="C15" s="5" t="s">
        <v>62</v>
      </c>
      <c r="D15" s="5" t="s">
        <v>44</v>
      </c>
      <c r="E15" s="8" t="s">
        <v>49</v>
      </c>
      <c r="F15" s="6" t="n">
        <v>2.5</v>
      </c>
      <c r="G15" s="7" t="s">
        <v>63</v>
      </c>
      <c r="H15" s="5" t="s">
        <v>64</v>
      </c>
    </row>
    <row r="16" customFormat="false" ht="27.75" hidden="false" customHeight="true" outlineLevel="0" collapsed="false">
      <c r="A16" s="5" t="n">
        <v>12</v>
      </c>
      <c r="B16" s="5" t="s">
        <v>65</v>
      </c>
      <c r="C16" s="5" t="s">
        <v>66</v>
      </c>
      <c r="D16" s="5" t="s">
        <v>34</v>
      </c>
      <c r="E16" s="8" t="s">
        <v>49</v>
      </c>
      <c r="F16" s="6" t="n">
        <v>1.12</v>
      </c>
      <c r="G16" s="7" t="s">
        <v>67</v>
      </c>
      <c r="H16" s="5" t="s">
        <v>68</v>
      </c>
    </row>
    <row r="17" customFormat="false" ht="27.75" hidden="false" customHeight="true" outlineLevel="0" collapsed="false">
      <c r="A17" s="5" t="n">
        <v>13</v>
      </c>
      <c r="B17" s="5" t="s">
        <v>69</v>
      </c>
      <c r="C17" s="5" t="s">
        <v>70</v>
      </c>
      <c r="D17" s="5" t="s">
        <v>34</v>
      </c>
      <c r="E17" s="8" t="s">
        <v>49</v>
      </c>
      <c r="F17" s="6" t="n">
        <v>1.24</v>
      </c>
      <c r="G17" s="7" t="s">
        <v>71</v>
      </c>
      <c r="H17" s="5" t="s">
        <v>72</v>
      </c>
    </row>
    <row r="18" customFormat="false" ht="41.25" hidden="false" customHeight="true" outlineLevel="0" collapsed="false">
      <c r="A18" s="5" t="n">
        <v>14</v>
      </c>
      <c r="B18" s="5" t="s">
        <v>73</v>
      </c>
      <c r="C18" s="5" t="s">
        <v>74</v>
      </c>
      <c r="D18" s="5" t="s">
        <v>34</v>
      </c>
      <c r="E18" s="8" t="s">
        <v>49</v>
      </c>
      <c r="F18" s="6" t="n">
        <v>0.1</v>
      </c>
      <c r="G18" s="7" t="s">
        <v>75</v>
      </c>
      <c r="H18" s="5" t="s">
        <v>76</v>
      </c>
    </row>
    <row r="19" customFormat="false" ht="27.75" hidden="false" customHeight="true" outlineLevel="0" collapsed="false">
      <c r="A19" s="5" t="n">
        <v>15</v>
      </c>
      <c r="B19" s="5" t="s">
        <v>77</v>
      </c>
      <c r="C19" s="5" t="s">
        <v>78</v>
      </c>
      <c r="D19" s="5" t="s">
        <v>79</v>
      </c>
      <c r="E19" s="8" t="s">
        <v>49</v>
      </c>
      <c r="F19" s="6" t="n">
        <v>3.5</v>
      </c>
      <c r="G19" s="7" t="s">
        <v>80</v>
      </c>
      <c r="H19" s="5" t="s">
        <v>81</v>
      </c>
    </row>
    <row r="20" customFormat="false" ht="15" hidden="false" customHeight="true" outlineLevel="0" collapsed="false">
      <c r="A20" s="5" t="n">
        <v>16</v>
      </c>
      <c r="B20" s="5" t="s">
        <v>82</v>
      </c>
      <c r="C20" s="5" t="s">
        <v>83</v>
      </c>
      <c r="D20" s="5" t="s">
        <v>84</v>
      </c>
      <c r="E20" s="8" t="s">
        <v>49</v>
      </c>
      <c r="F20" s="6" t="n">
        <v>2.8</v>
      </c>
      <c r="G20" s="7" t="s">
        <v>85</v>
      </c>
      <c r="H20" s="5" t="s">
        <v>86</v>
      </c>
    </row>
    <row r="21" customFormat="false" ht="27.75" hidden="false" customHeight="true" outlineLevel="0" collapsed="false">
      <c r="A21" s="5" t="n">
        <v>17</v>
      </c>
      <c r="B21" s="5" t="s">
        <v>87</v>
      </c>
      <c r="C21" s="5" t="s">
        <v>88</v>
      </c>
      <c r="D21" s="5" t="s">
        <v>89</v>
      </c>
      <c r="E21" s="8" t="s">
        <v>49</v>
      </c>
      <c r="F21" s="6" t="n">
        <v>2.9</v>
      </c>
      <c r="G21" s="7" t="s">
        <v>90</v>
      </c>
      <c r="H21" s="5" t="s">
        <v>91</v>
      </c>
    </row>
    <row r="22" customFormat="false" ht="15" hidden="false" customHeight="true" outlineLevel="0" collapsed="false">
      <c r="A22" s="5" t="n">
        <v>18</v>
      </c>
      <c r="B22" s="5" t="s">
        <v>92</v>
      </c>
      <c r="C22" s="5" t="s">
        <v>93</v>
      </c>
      <c r="D22" s="5" t="s">
        <v>84</v>
      </c>
      <c r="E22" s="8" t="s">
        <v>49</v>
      </c>
      <c r="F22" s="6" t="n">
        <v>0.6</v>
      </c>
      <c r="G22" s="7" t="s">
        <v>94</v>
      </c>
      <c r="H22" s="5" t="s">
        <v>95</v>
      </c>
    </row>
    <row r="23" customFormat="false" ht="41.25" hidden="false" customHeight="true" outlineLevel="0" collapsed="false">
      <c r="A23" s="5" t="n">
        <v>19</v>
      </c>
      <c r="B23" s="5" t="s">
        <v>96</v>
      </c>
      <c r="C23" s="5" t="s">
        <v>97</v>
      </c>
      <c r="D23" s="5" t="s">
        <v>98</v>
      </c>
      <c r="E23" s="9" t="s">
        <v>99</v>
      </c>
      <c r="F23" s="6" t="n">
        <v>1.49</v>
      </c>
      <c r="G23" s="7" t="s">
        <v>100</v>
      </c>
      <c r="H23" s="5" t="s">
        <v>101</v>
      </c>
    </row>
    <row r="24" customFormat="false" ht="41.25" hidden="false" customHeight="true" outlineLevel="0" collapsed="false">
      <c r="A24" s="5" t="n">
        <v>20</v>
      </c>
      <c r="B24" s="5" t="s">
        <v>102</v>
      </c>
      <c r="C24" s="5" t="s">
        <v>103</v>
      </c>
      <c r="D24" s="5" t="s">
        <v>12</v>
      </c>
      <c r="E24" s="9" t="s">
        <v>99</v>
      </c>
      <c r="F24" s="6" t="n">
        <v>2.39</v>
      </c>
      <c r="G24" s="7" t="s">
        <v>104</v>
      </c>
      <c r="H24" s="5" t="s">
        <v>105</v>
      </c>
    </row>
    <row r="25" customFormat="false" ht="41.25" hidden="false" customHeight="true" outlineLevel="0" collapsed="false">
      <c r="A25" s="5" t="n">
        <v>21</v>
      </c>
      <c r="B25" s="5" t="s">
        <v>106</v>
      </c>
      <c r="C25" s="5" t="s">
        <v>107</v>
      </c>
      <c r="D25" s="5" t="s">
        <v>108</v>
      </c>
      <c r="E25" s="8" t="s">
        <v>109</v>
      </c>
      <c r="F25" s="6" t="n">
        <v>14.99</v>
      </c>
      <c r="G25" s="7" t="s">
        <v>110</v>
      </c>
      <c r="H25" s="5" t="s">
        <v>111</v>
      </c>
    </row>
    <row r="26" customFormat="false" ht="27.75" hidden="false" customHeight="true" outlineLevel="0" collapsed="false">
      <c r="A26" s="5" t="n">
        <v>22</v>
      </c>
      <c r="B26" s="5" t="s">
        <v>112</v>
      </c>
      <c r="C26" s="5" t="s">
        <v>113</v>
      </c>
      <c r="D26" s="5" t="s">
        <v>12</v>
      </c>
      <c r="E26" s="8" t="s">
        <v>49</v>
      </c>
      <c r="F26" s="6" t="n">
        <v>0</v>
      </c>
      <c r="G26" s="7"/>
      <c r="H26" s="5" t="s">
        <v>114</v>
      </c>
    </row>
    <row r="27" customFormat="false" ht="41.25" hidden="false" customHeight="true" outlineLevel="0" collapsed="false">
      <c r="A27" s="5" t="n">
        <v>23</v>
      </c>
      <c r="B27" s="5" t="s">
        <v>115</v>
      </c>
      <c r="C27" s="5" t="s">
        <v>116</v>
      </c>
      <c r="D27" s="5" t="s">
        <v>12</v>
      </c>
      <c r="E27" s="8" t="s">
        <v>49</v>
      </c>
      <c r="F27" s="6" t="n">
        <v>0</v>
      </c>
      <c r="G27" s="7"/>
      <c r="H27" s="5" t="s">
        <v>117</v>
      </c>
    </row>
    <row r="28" customFormat="false" ht="15" hidden="false" customHeight="true" outlineLevel="0" collapsed="false">
      <c r="A28" s="5" t="n">
        <v>24</v>
      </c>
      <c r="B28" s="5" t="s">
        <v>118</v>
      </c>
      <c r="C28" s="5" t="s">
        <v>119</v>
      </c>
      <c r="D28" s="5" t="s">
        <v>12</v>
      </c>
      <c r="E28" s="8" t="s">
        <v>120</v>
      </c>
      <c r="F28" s="6" t="n">
        <v>0.17</v>
      </c>
      <c r="G28" s="7" t="s">
        <v>121</v>
      </c>
      <c r="H28" s="5" t="s">
        <v>122</v>
      </c>
    </row>
    <row r="29" customFormat="false" ht="15" hidden="false" customHeight="true" outlineLevel="0" collapsed="false">
      <c r="A29" s="5" t="n">
        <v>25</v>
      </c>
      <c r="B29" s="5" t="s">
        <v>123</v>
      </c>
      <c r="C29" s="5" t="s">
        <v>124</v>
      </c>
      <c r="D29" s="5" t="s">
        <v>12</v>
      </c>
      <c r="E29" s="8" t="s">
        <v>120</v>
      </c>
      <c r="F29" s="6" t="n">
        <v>0.05</v>
      </c>
      <c r="G29" s="7" t="s">
        <v>125</v>
      </c>
      <c r="H29" s="5" t="s">
        <v>126</v>
      </c>
    </row>
    <row r="30" customFormat="false" ht="15" hidden="false" customHeight="true" outlineLevel="0" collapsed="false">
      <c r="A30" s="5" t="n">
        <v>26</v>
      </c>
      <c r="B30" s="5" t="s">
        <v>127</v>
      </c>
      <c r="C30" s="5" t="s">
        <v>128</v>
      </c>
      <c r="D30" s="5" t="s">
        <v>12</v>
      </c>
      <c r="E30" s="8" t="s">
        <v>120</v>
      </c>
      <c r="F30" s="6" t="n">
        <v>0.06</v>
      </c>
      <c r="G30" s="7" t="s">
        <v>129</v>
      </c>
      <c r="H30" s="5" t="s">
        <v>130</v>
      </c>
    </row>
    <row r="31" customFormat="false" ht="27.75" hidden="false" customHeight="true" outlineLevel="0" collapsed="false">
      <c r="A31" s="5" t="n">
        <v>27</v>
      </c>
      <c r="B31" s="5" t="s">
        <v>131</v>
      </c>
      <c r="C31" s="5" t="s">
        <v>132</v>
      </c>
      <c r="D31" s="5" t="s">
        <v>34</v>
      </c>
      <c r="E31" s="8" t="s">
        <v>120</v>
      </c>
      <c r="F31" s="6" t="n">
        <v>0.1</v>
      </c>
      <c r="G31" s="7" t="s">
        <v>133</v>
      </c>
      <c r="H31" s="5" t="s">
        <v>134</v>
      </c>
    </row>
    <row r="32" customFormat="false" ht="27.75" hidden="false" customHeight="true" outlineLevel="0" collapsed="false">
      <c r="A32" s="5" t="n">
        <v>28</v>
      </c>
      <c r="B32" s="5" t="s">
        <v>135</v>
      </c>
      <c r="C32" s="5" t="s">
        <v>74</v>
      </c>
      <c r="D32" s="5" t="s">
        <v>12</v>
      </c>
      <c r="E32" s="8" t="s">
        <v>120</v>
      </c>
      <c r="F32" s="6" t="n">
        <v>0.05</v>
      </c>
      <c r="G32" s="7" t="s">
        <v>75</v>
      </c>
      <c r="H32" s="5" t="s">
        <v>136</v>
      </c>
    </row>
    <row r="33" customFormat="false" ht="27.75" hidden="false" customHeight="true" outlineLevel="0" collapsed="false">
      <c r="A33" s="5" t="n">
        <v>29</v>
      </c>
      <c r="B33" s="5" t="s">
        <v>137</v>
      </c>
      <c r="C33" s="5" t="s">
        <v>138</v>
      </c>
      <c r="D33" s="5" t="s">
        <v>34</v>
      </c>
      <c r="E33" s="8" t="s">
        <v>120</v>
      </c>
      <c r="F33" s="6" t="n">
        <v>0.64</v>
      </c>
      <c r="G33" s="7" t="s">
        <v>139</v>
      </c>
      <c r="H33" s="5" t="s">
        <v>140</v>
      </c>
    </row>
    <row r="34" customFormat="false" ht="27.75" hidden="false" customHeight="true" outlineLevel="0" collapsed="false">
      <c r="A34" s="5" t="n">
        <v>30</v>
      </c>
      <c r="B34" s="5" t="s">
        <v>141</v>
      </c>
      <c r="C34" s="5" t="s">
        <v>142</v>
      </c>
      <c r="D34" s="5" t="s">
        <v>12</v>
      </c>
      <c r="E34" s="8" t="s">
        <v>120</v>
      </c>
      <c r="F34" s="6" t="n">
        <v>0.1</v>
      </c>
      <c r="G34" s="7" t="s">
        <v>143</v>
      </c>
      <c r="H34" s="5" t="s">
        <v>144</v>
      </c>
    </row>
    <row r="35" customFormat="false" ht="27.75" hidden="false" customHeight="true" outlineLevel="0" collapsed="false">
      <c r="A35" s="5" t="n">
        <v>31</v>
      </c>
      <c r="B35" s="5" t="s">
        <v>145</v>
      </c>
      <c r="C35" s="5" t="s">
        <v>146</v>
      </c>
      <c r="D35" s="5" t="s">
        <v>12</v>
      </c>
      <c r="E35" s="8" t="s">
        <v>120</v>
      </c>
      <c r="F35" s="6" t="n">
        <v>1.1</v>
      </c>
      <c r="G35" s="7" t="s">
        <v>147</v>
      </c>
      <c r="H35" s="5" t="s">
        <v>148</v>
      </c>
    </row>
    <row r="36" customFormat="false" ht="41.25" hidden="false" customHeight="true" outlineLevel="0" collapsed="false">
      <c r="A36" s="5" t="n">
        <v>32</v>
      </c>
      <c r="B36" s="5" t="s">
        <v>149</v>
      </c>
      <c r="C36" s="5" t="s">
        <v>150</v>
      </c>
      <c r="D36" s="5" t="s">
        <v>12</v>
      </c>
      <c r="E36" s="8" t="s">
        <v>120</v>
      </c>
      <c r="F36" s="6" t="n">
        <v>0.7</v>
      </c>
      <c r="G36" s="7" t="s">
        <v>151</v>
      </c>
      <c r="H36" s="5" t="s">
        <v>152</v>
      </c>
    </row>
    <row r="37" customFormat="false" ht="27.75" hidden="false" customHeight="true" outlineLevel="0" collapsed="false">
      <c r="A37" s="5" t="n">
        <v>33</v>
      </c>
      <c r="B37" s="5" t="s">
        <v>153</v>
      </c>
      <c r="C37" s="5" t="s">
        <v>154</v>
      </c>
      <c r="D37" s="5" t="s">
        <v>34</v>
      </c>
      <c r="E37" s="8" t="s">
        <v>120</v>
      </c>
      <c r="F37" s="6" t="n">
        <v>0</v>
      </c>
      <c r="G37" s="7"/>
      <c r="H37" s="5" t="s">
        <v>155</v>
      </c>
    </row>
    <row r="38" customFormat="false" ht="41.25" hidden="false" customHeight="true" outlineLevel="0" collapsed="false">
      <c r="A38" s="5" t="n">
        <v>34</v>
      </c>
      <c r="B38" s="5" t="s">
        <v>156</v>
      </c>
      <c r="C38" s="5" t="s">
        <v>157</v>
      </c>
      <c r="D38" s="5" t="s">
        <v>12</v>
      </c>
      <c r="E38" s="8" t="s">
        <v>120</v>
      </c>
      <c r="F38" s="6" t="n">
        <v>0.2</v>
      </c>
      <c r="G38" s="7" t="s">
        <v>158</v>
      </c>
      <c r="H38" s="5" t="s">
        <v>159</v>
      </c>
    </row>
    <row r="39" customFormat="false" ht="15" hidden="false" customHeight="true" outlineLevel="0" collapsed="false">
      <c r="B39" s="10" t="s">
        <v>160</v>
      </c>
      <c r="F39" s="11" t="n">
        <f aca="false">SUM(F5:F38)</f>
        <v>119.01</v>
      </c>
    </row>
    <row r="40" customFormat="false" ht="15" hidden="false" customHeight="false" outlineLevel="0" collapsed="false"/>
    <row r="41" customFormat="false" ht="15" hidden="false" customHeight="true" outlineLevel="0" collapsed="false">
      <c r="B41" s="10" t="s">
        <v>161</v>
      </c>
    </row>
    <row r="42" customFormat="false" ht="27.75" hidden="false" customHeight="true" outlineLevel="0" collapsed="false">
      <c r="B42" s="12" t="s">
        <v>162</v>
      </c>
      <c r="F42" s="13" t="n">
        <f aca="false">IF(F5+F6+F7+F10+F11+F14+F25&gt;=49,0,3.99)</f>
        <v>0</v>
      </c>
      <c r="H42" s="5" t="s">
        <v>163</v>
      </c>
    </row>
    <row r="43" customFormat="false" ht="15" hidden="false" customHeight="true" outlineLevel="0" collapsed="false">
      <c r="B43" s="12" t="s">
        <v>164</v>
      </c>
      <c r="F43" s="13" t="n">
        <f aca="false">IF(F8+F12+F13+F18+F19+F20+F21+F22+F28+F29+F30+F31+F32+F33+F34+F35+F36+F38&gt;=150,0,4.95)</f>
        <v>4.95</v>
      </c>
      <c r="H43" s="5" t="s">
        <v>165</v>
      </c>
    </row>
    <row r="44" customFormat="false" ht="27.75" hidden="false" customHeight="true" outlineLevel="0" collapsed="false">
      <c r="B44" s="12" t="s">
        <v>166</v>
      </c>
      <c r="F44" s="13" t="n">
        <f aca="false">IF(F9&gt;0,5.95,0)</f>
        <v>5.95</v>
      </c>
      <c r="H44" s="5" t="s">
        <v>167</v>
      </c>
    </row>
    <row r="45" customFormat="false" ht="27.75" hidden="false" customHeight="true" outlineLevel="0" collapsed="false">
      <c r="B45" s="12" t="s">
        <v>168</v>
      </c>
      <c r="F45" s="13"/>
      <c r="H45" s="5" t="s">
        <v>169</v>
      </c>
    </row>
    <row r="46" customFormat="false" ht="27.75" hidden="false" customHeight="true" outlineLevel="0" collapsed="false">
      <c r="B46" s="12" t="s">
        <v>170</v>
      </c>
      <c r="F46" s="13"/>
      <c r="H46" s="5" t="s">
        <v>171</v>
      </c>
    </row>
    <row r="47" customFormat="false" ht="15" hidden="false" customHeight="true" outlineLevel="0" collapsed="false">
      <c r="B47" s="10" t="s">
        <v>172</v>
      </c>
      <c r="F47" s="11" t="n">
        <f aca="false">SUM(F42:F46)</f>
        <v>10.9</v>
      </c>
    </row>
    <row r="48" customFormat="false" ht="15" hidden="false" customHeight="false" outlineLevel="0" collapsed="false"/>
    <row r="49" customFormat="false" ht="15" hidden="false" customHeight="true" outlineLevel="0" collapsed="false">
      <c r="B49" s="12" t="s">
        <v>173</v>
      </c>
      <c r="F49" s="13" t="n">
        <f aca="false">ROUND(F39*0.1,2)</f>
        <v>11.9</v>
      </c>
    </row>
    <row r="50" customFormat="false" ht="15" hidden="false" customHeight="true" outlineLevel="0" collapsed="false">
      <c r="B50" s="14" t="s">
        <v>174</v>
      </c>
      <c r="F50" s="15" t="n">
        <f aca="false">F39+F47+F49</f>
        <v>141.81</v>
      </c>
    </row>
    <row r="51" customFormat="false" ht="27.75" hidden="false" customHeight="true" outlineLevel="0" collapsed="false">
      <c r="B51" s="12" t="s">
        <v>175</v>
      </c>
      <c r="F51" s="13" t="n">
        <f aca="false">F50-F25-ROUND(F25*0.1,2)</f>
        <v>125.32</v>
      </c>
      <c r="H51" s="5" t="s">
        <v>176</v>
      </c>
    </row>
    <row r="52" customFormat="false" ht="15" hidden="false" customHeight="false" outlineLevel="0" collapsed="false"/>
    <row r="53" customFormat="false" ht="15" hidden="false" customHeight="true" outlineLevel="0" collapsed="false">
      <c r="B53" s="10" t="s">
        <v>177</v>
      </c>
    </row>
    <row r="54" customFormat="false" ht="27.75" hidden="false" customHeight="true" outlineLevel="0" collapsed="false">
      <c r="A54" s="5"/>
      <c r="B54" s="5" t="s">
        <v>178</v>
      </c>
      <c r="C54" s="5" t="s">
        <v>179</v>
      </c>
      <c r="D54" s="5" t="s">
        <v>18</v>
      </c>
      <c r="E54" s="5" t="s">
        <v>180</v>
      </c>
      <c r="F54" s="6" t="n">
        <v>6.99</v>
      </c>
      <c r="G54" s="7" t="s">
        <v>181</v>
      </c>
      <c r="H54" s="5" t="s">
        <v>182</v>
      </c>
    </row>
    <row r="55" customFormat="false" ht="41.25" hidden="false" customHeight="true" outlineLevel="0" collapsed="false">
      <c r="A55" s="5"/>
      <c r="B55" s="5" t="s">
        <v>183</v>
      </c>
      <c r="C55" s="5" t="s">
        <v>184</v>
      </c>
      <c r="D55" s="5" t="s">
        <v>12</v>
      </c>
      <c r="E55" s="5" t="s">
        <v>180</v>
      </c>
      <c r="F55" s="6" t="n">
        <v>0.9</v>
      </c>
      <c r="G55" s="7" t="s">
        <v>185</v>
      </c>
      <c r="H55" s="5" t="s">
        <v>186</v>
      </c>
    </row>
  </sheetData>
  <hyperlinks>
    <hyperlink ref="G5" r:id="rId1" display="https://www.amazon.de/dp/B0G1N16Q16"/>
    <hyperlink ref="G6" r:id="rId2" display="https://www.amazon.de/dp/B0B9H3YMT2"/>
    <hyperlink ref="G7" r:id="rId3" display="https://www.amazon.de/dp/B0H41MCVSW"/>
    <hyperlink ref="G8" r:id="rId4" display="https://www.berrybase.de/regensensor-mit-digitalem-und-analogem-ausgang"/>
    <hyperlink ref="G9" r:id="rId5" display="https://www.reichelt.de/de/de/shop/produkt/mosfet_p-ch_-30v_-4a_0_041r_sot-23-166486"/>
    <hyperlink ref="G10" r:id="rId6" display="https://www.amazon.de/dp/B08214DJLJ"/>
    <hyperlink ref="G11" r:id="rId7" display="https://www.amazon.de/dp/B0F67KYB4F"/>
    <hyperlink ref="G12" r:id="rId8" display="https://www.berrybase.de/pololu-s13v10f5-5v-1a-step-up-step-down-converter"/>
    <hyperlink ref="G13" r:id="rId9" display="https://www.berrybase.de/fix-fasten-selbstklebender-fuss-rund-oben-9-5mm-unten-10mm-hoehe-4-5mm-gummi-schwarz"/>
    <hyperlink ref="G14" r:id="rId10" display="https://www.amazon.de/dp/B0GVNMS4DZ"/>
    <hyperlink ref="G15" r:id="rId11" display="https://alleschrauben.de/Schrauben/Senkkopf/Senkkopfschrauben-DIN-7991/Senkkopfschrauben-M3x12-mit-Innensechskant-DIN-7991-Edelstahl-A2"/>
    <hyperlink ref="G16" r:id="rId12" display="https://alleschrauben.de/Schrauben/Senkkopf/Senkkopfschrauben-DIN-7991/Senkkopfschrauben-M4x10-mit-Innensechskant-DIN-7991-Edelstahl-A2"/>
    <hyperlink ref="G17" r:id="rId13" display="https://alleschrauben.de/Schrauben/Senkkopf/Senkkopfschrauben-DIN-7991/Senkkopfschrauben-M5x12-mit-Innensechskant-DIN-7991-Edelstahl-A2"/>
    <hyperlink ref="G18" r:id="rId14" display="https://www.berrybase.de/metallschichtwiderstand-10-0-kohm-1-4w-1-0207-axial-durchsteckmontage"/>
    <hyperlink ref="G19" r:id="rId15" display="https://www.berrybase.de/vierlingslitze-isoliert-4x0-14mm-5m-farbe-blau-gelb-rot-gruen"/>
    <hyperlink ref="G20" r:id="rId16" display="https://www.berrybase.de/schrumpfschlauch-set-100-teilig-in-sortimentsbox-schwarz"/>
    <hyperlink ref="G21" r:id="rId17" display="https://www.berrybase.de/tesa-doppelseitiges-klebeband-10m-x-12mm-transparent-pp-traeger-loesungsmittelfrei"/>
    <hyperlink ref="G22" r:id="rId18" display="https://www.berrybase.de/kabelbinder-uv-bestaendig-nylon-100-stueck/farbe-transparent/masse-100x2-5mm"/>
    <hyperlink ref="G23" r:id="rId19" display="https://de.aliexpress.com/item/4001171710583.html"/>
    <hyperlink ref="G24" r:id="rId20" display="https://de.aliexpress.com/item/1005009886368149.html"/>
    <hyperlink ref="G25" r:id="rId21" display="https://www.amazon.de/dp/B0BTHSVQ89"/>
    <hyperlink ref="G28" r:id="rId22" display="https://www.berrybase.de/bc547b-bipolarer-transistor-npn-45v-100ma-to-92-3-pin"/>
    <hyperlink ref="G29" r:id="rId23" display="https://www.berrybase.de/metallschichtwiderstand-470-0-ohm-1-4w-1-0207-axial-durchsteckmontage"/>
    <hyperlink ref="G30" r:id="rId24" display="https://www.berrybase.de/metallschichtwiderstand-4-7-kohm-1-4w-1-0207-axial-durchsteckmontage"/>
    <hyperlink ref="G31" r:id="rId25" display="https://www.berrybase.de/metallschichtwiderstand-47-0-kohm-1-4w-1-0207-axial-durchsteckmontage"/>
    <hyperlink ref="G32" r:id="rId26" display="https://www.berrybase.de/metallschichtwiderstand-10-0-kohm-1-4w-1-0207-axial-durchsteckmontage"/>
    <hyperlink ref="G33" r:id="rId27" display="https://www.berrybase.de/smd-breakout-adapter-fuer-sot23-ssop10-msop10-10-pin-0-50mm-0-95mm"/>
    <hyperlink ref="G34" r:id="rId28" display="https://www.berrybase.de/elektrolytkondensator-470-f-25v-1050c-1-radial-tht"/>
    <hyperlink ref="G35" r:id="rId29" display="https://www.berrybase.de/lochrasterplatine-9x15cm-mit-einseitiger-kupferauflage"/>
    <hyperlink ref="G36" r:id="rId30" display="https://www.berrybase.de/schiebeschalter-printmontage-on-on-2-stellig-8.6x4.3x4mm-gerade"/>
    <hyperlink ref="G38" r:id="rId31" display="https://www.berrybase.de/stiftleiste-1x-20-polig-rm-2-54-gera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50"/>
  </cols>
  <sheetData>
    <row r="1" customFormat="false" ht="15" hidden="false" customHeight="true" outlineLevel="0" collapsed="false">
      <c r="A1" s="10" t="s">
        <v>187</v>
      </c>
      <c r="B1" s="10" t="s">
        <v>188</v>
      </c>
    </row>
    <row r="2" customFormat="false" ht="15" hidden="false" customHeight="true" outlineLevel="0" collapsed="false">
      <c r="A2" s="1" t="s">
        <v>189</v>
      </c>
      <c r="B2" s="1" t="s">
        <v>190</v>
      </c>
    </row>
    <row r="3" customFormat="false" ht="15" hidden="false" customHeight="true" outlineLevel="0" collapsed="false">
      <c r="A3" s="1" t="s">
        <v>191</v>
      </c>
      <c r="B3" s="1" t="s">
        <v>192</v>
      </c>
    </row>
    <row r="4" customFormat="false" ht="15" hidden="false" customHeight="true" outlineLevel="0" collapsed="false">
      <c r="A4" s="1" t="s">
        <v>193</v>
      </c>
      <c r="B4" s="1" t="s">
        <v>194</v>
      </c>
    </row>
    <row r="5" customFormat="false" ht="15" hidden="false" customHeight="true" outlineLevel="0" collapsed="false">
      <c r="A5" s="1" t="s">
        <v>195</v>
      </c>
      <c r="B5" s="1" t="s">
        <v>196</v>
      </c>
    </row>
    <row r="6" customFormat="false" ht="15" hidden="false" customHeight="true" outlineLevel="0" collapsed="false">
      <c r="A6" s="1" t="s">
        <v>197</v>
      </c>
      <c r="B6" s="1" t="s">
        <v>198</v>
      </c>
    </row>
    <row r="7" customFormat="false" ht="15" hidden="false" customHeight="true" outlineLevel="0" collapsed="false">
      <c r="A7" s="1" t="s">
        <v>199</v>
      </c>
      <c r="B7" s="1" t="s">
        <v>200</v>
      </c>
    </row>
    <row r="8" customFormat="false" ht="15" hidden="false" customHeight="true" outlineLevel="0" collapsed="false">
      <c r="A8" s="1" t="s">
        <v>201</v>
      </c>
      <c r="B8" s="1" t="s">
        <v>202</v>
      </c>
    </row>
    <row r="9" customFormat="false" ht="15" hidden="false" customHeight="true" outlineLevel="0" collapsed="false">
      <c r="A9" s="1" t="s">
        <v>203</v>
      </c>
      <c r="B9" s="1" t="s">
        <v>204</v>
      </c>
    </row>
    <row r="10" customFormat="false" ht="15" hidden="false" customHeight="true" outlineLevel="0" collapsed="false">
      <c r="A10" s="1" t="s">
        <v>205</v>
      </c>
      <c r="B10" s="1" t="s">
        <v>206</v>
      </c>
    </row>
    <row r="11" customFormat="false" ht="15" hidden="false" customHeight="true" outlineLevel="0" collapsed="false">
      <c r="A11" s="1" t="s">
        <v>207</v>
      </c>
      <c r="B11" s="1" t="s">
        <v>208</v>
      </c>
    </row>
    <row r="12" customFormat="false" ht="15" hidden="false" customHeight="true" outlineLevel="0" collapsed="false">
      <c r="A12" s="1" t="s">
        <v>209</v>
      </c>
      <c r="B12" s="1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2026-10-06T09:55:13Z</dcterms:created>
  <dc:creator>openpyxl</dc:creator>
  <dc:description/>
  <dc:language>en-US</dc:language>
  <cp:lastModifiedBy/>
  <dcterms:modified xsi:type="dcterms:W3CDTF">2026-10-09T07:43:23Z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