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orkalkulation" sheetId="1" state="visible" r:id="rId1"/>
    <sheet xmlns:r="http://schemas.openxmlformats.org/officeDocument/2006/relationships" name="Gestrich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  <color rgb="00FFFFFF"/>
    </font>
    <font>
      <color rgb="000563C1"/>
      <u val="single"/>
    </font>
    <font>
      <b val="1"/>
    </font>
    <font/>
  </fonts>
  <fills count="5">
    <fill>
      <patternFill/>
    </fill>
    <fill>
      <patternFill patternType="gray125"/>
    </fill>
    <fill>
      <patternFill patternType="solid">
        <fgColor rgb="001F6FB2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5" fillId="4" borderId="0" pivotButton="0" quotePrefix="0" xfId="0"/>
    <xf numFmtId="164" fontId="5" fillId="4" borderId="0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de/dp/B0G1N16Q16" TargetMode="External" Id="rId1"/><Relationship Type="http://schemas.openxmlformats.org/officeDocument/2006/relationships/hyperlink" Target="https://www.amazon.de/dp/B0B9H3YMT2" TargetMode="External" Id="rId2"/><Relationship Type="http://schemas.openxmlformats.org/officeDocument/2006/relationships/hyperlink" Target="https://www.amazon.de/dp/B0H41MCVSW" TargetMode="External" Id="rId3"/><Relationship Type="http://schemas.openxmlformats.org/officeDocument/2006/relationships/hyperlink" Target="https://www.berrybase.de/regensensor-mit-digitalem-und-analogem-ausgang" TargetMode="External" Id="rId4"/><Relationship Type="http://schemas.openxmlformats.org/officeDocument/2006/relationships/hyperlink" Target="https://www.amazon.de/dp/B0DG8B58PM" TargetMode="External" Id="rId5"/><Relationship Type="http://schemas.openxmlformats.org/officeDocument/2006/relationships/hyperlink" Target="https://www.amazon.de/dp/B08214DJLJ" TargetMode="External" Id="rId6"/><Relationship Type="http://schemas.openxmlformats.org/officeDocument/2006/relationships/hyperlink" Target="https://www.amazon.de/dp/B0F67KYB4F" TargetMode="External" Id="rId7"/><Relationship Type="http://schemas.openxmlformats.org/officeDocument/2006/relationships/hyperlink" Target="https://www.berrybase.de/pololu-s13v10f5-5v-1a-step-up-step-down-converter" TargetMode="External" Id="rId8"/><Relationship Type="http://schemas.openxmlformats.org/officeDocument/2006/relationships/hyperlink" Target="https://www.berrybase.de/fix-fasten-selbstklebender-fuss-rund-oben-9-5mm-unten-10mm-hoehe-4-5mm-gummi-schwarz" TargetMode="External" Id="rId9"/><Relationship Type="http://schemas.openxmlformats.org/officeDocument/2006/relationships/hyperlink" Target="https://www.amazon.de/dp/B0GVNMS4DZ" TargetMode="External" Id="rId10"/><Relationship Type="http://schemas.openxmlformats.org/officeDocument/2006/relationships/hyperlink" Target="https://alleschrauben.de/Schrauben/Senkkopf/Senkkopfschrauben-DIN-7991/Senkkopfschrauben-M3x12-mit-Innensechskant-DIN-7991-Edelstahl-A2" TargetMode="External" Id="rId11"/><Relationship Type="http://schemas.openxmlformats.org/officeDocument/2006/relationships/hyperlink" Target="https://alleschrauben.de/Schrauben/Senkkopf/Senkkopfschrauben-DIN-7991/Senkkopfschrauben-M4x10-mit-Innensechskant-DIN-7991-Edelstahl-A2" TargetMode="External" Id="rId12"/><Relationship Type="http://schemas.openxmlformats.org/officeDocument/2006/relationships/hyperlink" Target="https://alleschrauben.de/Schrauben/Senkkopf/Senkkopfschrauben-DIN-7991/Senkkopfschrauben-M5x12-mit-Innensechskant-DIN-7991-Edelstahl-A2" TargetMode="External" Id="rId13"/><Relationship Type="http://schemas.openxmlformats.org/officeDocument/2006/relationships/hyperlink" Target="https://www.berrybase.de/metallschichtwiderstand-10-0-kohm-1-4w-1-0207-axial-durchsteckmontage" TargetMode="External" Id="rId14"/><Relationship Type="http://schemas.openxmlformats.org/officeDocument/2006/relationships/hyperlink" Target="https://www.berrybase.de/vierlingslitze-isoliert-4x0-14mm-5m-farbe-blau-gelb-rot-gruen" TargetMode="External" Id="rId15"/><Relationship Type="http://schemas.openxmlformats.org/officeDocument/2006/relationships/hyperlink" Target="https://www.berrybase.de/schrumpfschlauch-set-100-teilig-in-sortimentsbox-schwarz" TargetMode="External" Id="rId16"/><Relationship Type="http://schemas.openxmlformats.org/officeDocument/2006/relationships/hyperlink" Target="https://www.berrybase.de/tesa-doppelseitiges-klebeband-10m-x-12mm-transparent-pp-traeger-loesungsmittelfrei" TargetMode="External" Id="rId17"/><Relationship Type="http://schemas.openxmlformats.org/officeDocument/2006/relationships/hyperlink" Target="https://www.berrybase.de/kabelbinder-uv-bestaendig-nylon-100-stueck/farbe-transparent/masse-100x2-5mm" TargetMode="External" Id="rId18"/><Relationship Type="http://schemas.openxmlformats.org/officeDocument/2006/relationships/hyperlink" Target="https://de.aliexpress.com/item/4001171710583.html" TargetMode="External" Id="rId19"/><Relationship Type="http://schemas.openxmlformats.org/officeDocument/2006/relationships/hyperlink" Target="https://de.aliexpress.com/item/1005009886368149.html" TargetMode="External" Id="rId20"/><Relationship Type="http://schemas.openxmlformats.org/officeDocument/2006/relationships/hyperlink" Target="https://www.amazon.de/dp/B0BTHSVQ89" TargetMode="External" Id="rId21"/><Relationship Type="http://schemas.openxmlformats.org/officeDocument/2006/relationships/hyperlink" Target="https://www.amazon.de/dp/B01EV70C78" TargetMode="External" Id="rId22"/><Relationship Type="http://schemas.openxmlformats.org/officeDocument/2006/relationships/hyperlink" Target="https://www.berrybase.de/verlaengerungskabel-2-pin-jst-ph-2.0mm-stecker-buchse-awg24-50cm" TargetMode="External" Id="rId2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4" customWidth="1" min="3" max="3"/>
    <col width="13" customWidth="1" min="4" max="4"/>
    <col width="15" customWidth="1" min="5" max="5"/>
    <col width="11" customWidth="1" min="6" max="6"/>
    <col width="36" customWidth="1" min="7" max="7"/>
    <col width="55" customWidth="1" min="8" max="8"/>
  </cols>
  <sheetData>
    <row r="1">
      <c r="A1" s="1" t="inlineStr">
        <is>
          <t>Vorkalkulation HydroDesk Base (Rechteck-Version, ESP32 mit Touch-Display)</t>
        </is>
      </c>
    </row>
    <row r="2">
      <c r="A2" s="2" t="inlineStr">
        <is>
          <t>Stand 08.10.2026: Preise inkl. MwSt. ohne Anmeldung abgelesen auf Amazon.de, Berrybase.de, alleschrauben.de und AliExpress (nur ab-Preis laut Suchliste). Basis: Korb „Schnell (DE-Shops, 1–3 Tage)“ aus Einkaufsliste_HydroDesk_guenstig.xlsx. Preise können sich ändern.</t>
        </is>
      </c>
    </row>
    <row r="4">
      <c r="A4" s="3" t="inlineStr">
        <is>
          <t>Pos.</t>
        </is>
      </c>
      <c r="B4" s="3" t="inlineStr">
        <is>
          <t>Bauteil</t>
        </is>
      </c>
      <c r="C4" s="3" t="inlineStr">
        <is>
          <t>Produkt</t>
        </is>
      </c>
      <c r="D4" s="3" t="inlineStr">
        <is>
          <t>Inhalt Packung</t>
        </is>
      </c>
      <c r="E4" s="3" t="inlineStr">
        <is>
          <t>Status</t>
        </is>
      </c>
      <c r="F4" s="3" t="inlineStr">
        <is>
          <t>Preis (€)</t>
        </is>
      </c>
      <c r="G4" s="3" t="inlineStr">
        <is>
          <t>Link</t>
        </is>
      </c>
      <c r="H4" s="3" t="inlineStr">
        <is>
          <t>Hinweis</t>
        </is>
      </c>
    </row>
    <row r="5">
      <c r="A5" s="4" t="n">
        <v>1</v>
      </c>
      <c r="B5" s="4" t="inlineStr">
        <is>
          <t>ESP32 + Touch-Display</t>
        </is>
      </c>
      <c r="C5" s="4" t="inlineStr">
        <is>
          <t>Fastsaw ESP32 mit 2,8" ILI9341 Touch (320×240), USB-C, TF-Slot</t>
        </is>
      </c>
      <c r="D5" s="4" t="inlineStr">
        <is>
          <t>1 Stk.</t>
        </is>
      </c>
      <c r="E5" s="4" t="inlineStr">
        <is>
          <t>übernommen</t>
        </is>
      </c>
      <c r="F5" s="6" t="n">
        <v>17.99</v>
      </c>
      <c r="G5" s="7" t="inlineStr">
        <is>
          <t>https://www.amazon.de/dp/B0G1N16Q16</t>
        </is>
      </c>
      <c r="H5" s="4" t="inlineStr">
        <is>
          <t>Amazon. Board-Typ ESP32-2432S028R („Cheap Yellow Display“). Prüfen, ob JST-1,25-Kabel beiliegt (sonst Pos. 19)</t>
        </is>
      </c>
    </row>
    <row r="6">
      <c r="A6" s="4" t="n">
        <v>2</v>
      </c>
      <c r="B6" s="4" t="inlineStr">
        <is>
          <t>Wägezelle + Verstärker</t>
        </is>
      </c>
      <c r="C6" s="4" t="inlineStr">
        <is>
          <t>DIYmalls Wägezelle 5 kg + HX711</t>
        </is>
      </c>
      <c r="D6" s="4" t="inlineStr">
        <is>
          <t>1 Set</t>
        </is>
      </c>
      <c r="E6" s="4" t="inlineStr">
        <is>
          <t>übernommen</t>
        </is>
      </c>
      <c r="F6" s="6" t="n">
        <v>8.970000000000001</v>
      </c>
      <c r="G6" s="7" t="inlineStr">
        <is>
          <t>https://www.amazon.de/dp/B0B9H3YMT2</t>
        </is>
      </c>
      <c r="H6" s="4" t="inlineStr">
        <is>
          <t>Amazon. Keine Schrauben dabei (→ Pos. 12/13); HX711-Stiftleiste selbst löten</t>
        </is>
      </c>
    </row>
    <row r="7">
      <c r="A7" s="4" t="n">
        <v>3</v>
      </c>
      <c r="B7" s="4" t="inlineStr">
        <is>
          <t>LED-Streifen (COB)</t>
        </is>
      </c>
      <c r="C7" s="4" t="inlineStr">
        <is>
          <t>BTF-LIGHTING WS2812B FCOB, 1 m, 160 LED/m, 5 V, 5 mm, jede LED einzeln adressierbar</t>
        </is>
      </c>
      <c r="D7" s="4" t="inlineStr">
        <is>
          <t>1 m</t>
        </is>
      </c>
      <c r="E7" s="5" t="inlineStr">
        <is>
          <t>ersetzt (Design-Änderung)</t>
        </is>
      </c>
      <c r="F7" s="6" t="n">
        <v>16.99</v>
      </c>
      <c r="G7" s="7" t="inlineStr">
        <is>
          <t>https://www.amazon.de/dp/B0H41MCVSW</t>
        </is>
      </c>
      <c r="H7" s="4" t="inlineStr">
        <is>
          <t>Amazon, Preis abgelesen 08.10.2026; Variante „1M 160LEDs/m 5mm“ wählen. 13 Segmente à 12,5 mm = 162,5 mm = 26 LEDs, hinter der gedruckten Diffusor-Leiste (Pos. 23) → durchgehende Lichtlinie. 330–470 Ω in DIN. Günstigste Alternative: AliExpress ab 7,59 € (https://de.aliexpress.com/item/1005006422072860.html, Preis der Variante nicht lesbar)</t>
        </is>
      </c>
    </row>
    <row r="8">
      <c r="A8" s="4" t="n">
        <v>4</v>
      </c>
      <c r="B8" s="4" t="inlineStr">
        <is>
          <t>Feuchtigkeitssensor</t>
        </is>
      </c>
      <c r="C8" s="4" t="inlineStr">
        <is>
          <t>Regensensor LM393 mit digitalem und analogem Ausgang</t>
        </is>
      </c>
      <c r="D8" s="4" t="inlineStr">
        <is>
          <t>1 Set</t>
        </is>
      </c>
      <c r="E8" s="5" t="inlineStr">
        <is>
          <t>ersetzt (günstiger)</t>
        </is>
      </c>
      <c r="F8" s="6" t="n">
        <v>1.8</v>
      </c>
      <c r="G8" s="7" t="inlineStr">
        <is>
          <t>https://www.berrybase.de/regensensor-mit-digitalem-und-analogem-ausgang</t>
        </is>
      </c>
      <c r="H8" s="4" t="inlineStr">
        <is>
          <t>Berrybase. Gleiches Bauteil wie vorher, statt Aihasd 2er-Pack 5,99 €</t>
        </is>
      </c>
    </row>
    <row r="9">
      <c r="A9" s="4" t="n">
        <v>5</v>
      </c>
      <c r="B9" s="4" t="inlineStr">
        <is>
          <t>Strom-Abschaltung</t>
        </is>
      </c>
      <c r="C9" s="4" t="inlineStr">
        <is>
          <t>GERUI FET-Schaltmodul DC 5–36 V (8er-Pack)</t>
        </is>
      </c>
      <c r="D9" s="4" t="inlineStr">
        <is>
          <t>8 Stk.</t>
        </is>
      </c>
      <c r="E9" s="4" t="inlineStr">
        <is>
          <t>übernommen</t>
        </is>
      </c>
      <c r="F9" s="6" t="n">
        <v>6.49</v>
      </c>
      <c r="G9" s="7" t="inlineStr">
        <is>
          <t>https://www.amazon.de/dp/B0DG8B58PM</t>
        </is>
      </c>
      <c r="H9" s="4" t="inlineStr">
        <is>
          <t>Amazon. Schaltet Low-Side (GND); 3,3-V-Ansteuerung laut Rezension kritisch → vorher testen, sonst P-MOSFET AO3401 (High-Side)</t>
        </is>
      </c>
    </row>
    <row r="10">
      <c r="A10" s="4" t="n">
        <v>6</v>
      </c>
      <c r="B10" s="4" t="inlineStr">
        <is>
          <t>Akku</t>
        </is>
      </c>
      <c r="C10" s="4" t="inlineStr">
        <is>
          <t>EEMB LiPo 3,7 V 2000 mAh (LP103454), mit Schutzschaltung</t>
        </is>
      </c>
      <c r="D10" s="4" t="inlineStr">
        <is>
          <t>1 Stk.</t>
        </is>
      </c>
      <c r="E10" s="4" t="inlineStr">
        <is>
          <t>übernommen</t>
        </is>
      </c>
      <c r="F10" s="6" t="n">
        <v>10.99</v>
      </c>
      <c r="G10" s="7" t="inlineStr">
        <is>
          <t>https://www.amazon.de/dp/B08214DJLJ</t>
        </is>
      </c>
      <c r="H10" s="4" t="inlineStr">
        <is>
          <t>Amazon. 34,5 × 56 × 10,6 mm passt ins Fach; Polarität am JST-PH-Stecker vor dem Anstecken messen</t>
        </is>
      </c>
    </row>
    <row r="11">
      <c r="A11" s="4" t="n">
        <v>7</v>
      </c>
      <c r="B11" s="4" t="inlineStr">
        <is>
          <t>Lademodul</t>
        </is>
      </c>
      <c r="C11" s="4" t="inlineStr">
        <is>
          <t>TC4056 USB-C Lademodul mit Schutz (10er-Pack)</t>
        </is>
      </c>
      <c r="D11" s="4" t="inlineStr">
        <is>
          <t>10 Stk.</t>
        </is>
      </c>
      <c r="E11" s="4" t="inlineStr">
        <is>
          <t>übernommen</t>
        </is>
      </c>
      <c r="F11" s="6" t="n">
        <v>6.99</v>
      </c>
      <c r="G11" s="7" t="inlineStr">
        <is>
          <t>https://www.amazon.de/dp/B0F67KYB4F</t>
        </is>
      </c>
      <c r="H11" s="4" t="inlineStr">
        <is>
          <t>Amazon. Länge vor dem Einbau messen (Fach 26 mm); billige Module laden evtl. nur mit USB-A→C-Kabel</t>
        </is>
      </c>
    </row>
    <row r="12">
      <c r="A12" s="4" t="n">
        <v>8</v>
      </c>
      <c r="B12" s="4" t="inlineStr">
        <is>
          <t>5-V-Wandler</t>
        </is>
      </c>
      <c r="C12" s="4" t="inlineStr">
        <is>
          <t>Pololu S13V10F5, 5 V 1 A Step-Up/Step-Down</t>
        </is>
      </c>
      <c r="D12" s="4" t="inlineStr">
        <is>
          <t>1 Stk.</t>
        </is>
      </c>
      <c r="E12" s="5" t="inlineStr">
        <is>
          <t>neu</t>
        </is>
      </c>
      <c r="F12" s="6" t="n">
        <v>9.949999999999999</v>
      </c>
      <c r="G12" s="7" t="inlineStr">
        <is>
          <t>https://www.berrybase.de/pololu-s13v10f5-5v-1a-step-up-step-down-converter</t>
        </is>
      </c>
      <c r="H12" s="4" t="inlineStr">
        <is>
          <t>Berrybase. Fest 5 V, Unterspannungs-Abschaltung; kleiner als das 37 × 17 mm Fach → mit Klebeband fixieren. Statt MT3608</t>
        </is>
      </c>
    </row>
    <row r="13">
      <c r="A13" s="4" t="n">
        <v>9</v>
      </c>
      <c r="B13" s="4" t="inlineStr">
        <is>
          <t>Gummifüße</t>
        </is>
      </c>
      <c r="C13" s="4" t="inlineStr">
        <is>
          <t>FIX&amp;FASTEN Fuß rund Ø10 mm, 4,5 mm hoch, selbstklebend</t>
        </is>
      </c>
      <c r="D13" s="4" t="inlineStr">
        <is>
          <t>4 Stk.</t>
        </is>
      </c>
      <c r="E13" s="5" t="inlineStr">
        <is>
          <t>ersetzt (günstiger)</t>
        </is>
      </c>
      <c r="F13" s="6" t="n">
        <v>0.6</v>
      </c>
      <c r="G13" s="7" t="inlineStr">
        <is>
          <t>https://www.berrybase.de/fix-fasten-selbstklebender-fuss-rund-oben-9-5mm-unten-10mm-hoehe-4-5mm-gummi-schwarz</t>
        </is>
      </c>
      <c r="H13" s="4" t="inlineStr">
        <is>
          <t>Berrybase. 4 × 0,15 €; passt in die Ø13-mm-Vertiefung. Statt InLine 20 Stk. 5,45 €</t>
        </is>
      </c>
    </row>
    <row r="14">
      <c r="A14" s="4" t="n">
        <v>10</v>
      </c>
      <c r="B14" s="4" t="inlineStr">
        <is>
          <t>Flaschen-Pad</t>
        </is>
      </c>
      <c r="C14" s="4" t="inlineStr">
        <is>
          <t>FICOFISE Silikonmatte 40 × 30 cm, 1,2 mm, rutschfest</t>
        </is>
      </c>
      <c r="D14" s="4" t="inlineStr">
        <is>
          <t>1 Stk.</t>
        </is>
      </c>
      <c r="E14" s="4" t="inlineStr">
        <is>
          <t>übernommen</t>
        </is>
      </c>
      <c r="F14" s="6" t="n">
        <v>7.59</v>
      </c>
      <c r="G14" s="7" t="inlineStr">
        <is>
          <t>https://www.amazon.de/dp/B0GVNMS4DZ</t>
        </is>
      </c>
      <c r="H14" s="4" t="inlineStr">
        <is>
          <t>Amazon. Auf 86 × 86 mm zuschneiden; Silikon klebt kaum → Silikonkleber oder nur einlegen</t>
        </is>
      </c>
    </row>
    <row r="15">
      <c r="A15" s="4" t="n">
        <v>11</v>
      </c>
      <c r="B15" s="4" t="inlineStr">
        <is>
          <t>Schrauben M3</t>
        </is>
      </c>
      <c r="C15" s="4" t="inlineStr">
        <is>
          <t>Senkkopfschraube M3×12 Innensechskant DIN 7991, Edelstahl A2</t>
        </is>
      </c>
      <c r="D15" s="4" t="inlineStr">
        <is>
          <t>10 Stk.</t>
        </is>
      </c>
      <c r="E15" s="5" t="inlineStr">
        <is>
          <t>neu</t>
        </is>
      </c>
      <c r="F15" s="6" t="n">
        <v>2.5</v>
      </c>
      <c r="G15" s="7" t="inlineStr">
        <is>
          <t>https://alleschrauben.de/Schrauben/Senkkopf/Senkkopfschrauben-DIN-7991/Senkkopfschrauben-M3x12-mit-Innensechskant-DIN-7991-Edelstahl-A2</t>
        </is>
      </c>
      <c r="H15" s="4" t="inlineStr">
        <is>
          <t>alleschrauben.de. 10 × 0,25 €, 8 werden gebraucht (Deckel, schneiden selbst ins 2,5-mm-Loch)</t>
        </is>
      </c>
    </row>
    <row r="16">
      <c r="A16" s="4" t="n">
        <v>12</v>
      </c>
      <c r="B16" s="4" t="inlineStr">
        <is>
          <t>Schrauben M4</t>
        </is>
      </c>
      <c r="C16" s="4" t="inlineStr">
        <is>
          <t>Senkkopfschraube M4×10 Innensechskant DIN 7991, Edelstahl A2</t>
        </is>
      </c>
      <c r="D16" s="4" t="inlineStr">
        <is>
          <t>2 Stk.</t>
        </is>
      </c>
      <c r="E16" s="5" t="inlineStr">
        <is>
          <t>neu</t>
        </is>
      </c>
      <c r="F16" s="6" t="n">
        <v>1.12</v>
      </c>
      <c r="G16" s="7" t="inlineStr">
        <is>
          <t>https://alleschrauben.de/Schrauben/Senkkopf/Senkkopfschrauben-DIN-7991/Senkkopfschrauben-M4x10-mit-Innensechskant-DIN-7991-Edelstahl-A2</t>
        </is>
      </c>
      <c r="H16" s="4" t="inlineStr">
        <is>
          <t>alleschrauben.de. 2 × 0,56 €; Wägezelle, M4-Seite</t>
        </is>
      </c>
    </row>
    <row r="17">
      <c r="A17" s="4" t="n">
        <v>13</v>
      </c>
      <c r="B17" s="4" t="inlineStr">
        <is>
          <t>Schrauben M5</t>
        </is>
      </c>
      <c r="C17" s="4" t="inlineStr">
        <is>
          <t>Senkkopfschraube M5×12 Innensechskant DIN 7991, Edelstahl A2</t>
        </is>
      </c>
      <c r="D17" s="4" t="inlineStr">
        <is>
          <t>2 Stk.</t>
        </is>
      </c>
      <c r="E17" s="5" t="inlineStr">
        <is>
          <t>neu</t>
        </is>
      </c>
      <c r="F17" s="6" t="n">
        <v>1.24</v>
      </c>
      <c r="G17" s="7" t="inlineStr">
        <is>
          <t>https://alleschrauben.de/Schrauben/Senkkopf/Senkkopfschrauben-DIN-7991/Senkkopfschrauben-M5x12-mit-Innensechskant-DIN-7991-Edelstahl-A2</t>
        </is>
      </c>
      <c r="H17" s="4" t="inlineStr">
        <is>
          <t>alleschrauben.de. 2 × 0,62 €; Wägezelle, M5-Seite</t>
        </is>
      </c>
    </row>
    <row r="18">
      <c r="A18" s="4" t="n">
        <v>14</v>
      </c>
      <c r="B18" s="4" t="inlineStr">
        <is>
          <t>Widerstände</t>
        </is>
      </c>
      <c r="C18" s="4" t="inlineStr">
        <is>
          <t>Metallschichtwiderstand 10 kΩ, 1/4 W, 1 %</t>
        </is>
      </c>
      <c r="D18" s="4" t="inlineStr">
        <is>
          <t>2 Stk.</t>
        </is>
      </c>
      <c r="E18" s="5" t="inlineStr">
        <is>
          <t>neu</t>
        </is>
      </c>
      <c r="F18" s="6" t="n">
        <v>0.1</v>
      </c>
      <c r="G18" s="7" t="inlineStr">
        <is>
          <t>https://www.berrybase.de/metallschichtwiderstand-10-0-kohm-1-4w-1-0207-axial-durchsteckmontage</t>
        </is>
      </c>
      <c r="H18" s="4" t="inlineStr">
        <is>
          <t>Berrybase. Spannungsteiler Akku → GPIO35. 100 kΩ dort nicht lieferbar; 2 × 10 kΩ = gleiches Verhältnis (Firmware gleich), ca. 0,2 mA Dauerstrom</t>
        </is>
      </c>
    </row>
    <row r="19">
      <c r="A19" s="4" t="n">
        <v>15</v>
      </c>
      <c r="B19" s="4" t="inlineStr">
        <is>
          <t>Litze</t>
        </is>
      </c>
      <c r="C19" s="4" t="inlineStr">
        <is>
          <t>Vierlingslitze 4 × 0,14 mm², 5 m (blau/gelb/rot/grün)</t>
        </is>
      </c>
      <c r="D19" s="4" t="inlineStr">
        <is>
          <t>5 m</t>
        </is>
      </c>
      <c r="E19" s="5" t="inlineStr">
        <is>
          <t>neu</t>
        </is>
      </c>
      <c r="F19" s="6" t="n">
        <v>3.5</v>
      </c>
      <c r="G19" s="7" t="inlineStr">
        <is>
          <t>https://www.berrybase.de/vierlingslitze-isoliert-4x0-14mm-5m-farbe-blau-gelb-rot-gruen</t>
        </is>
      </c>
      <c r="H19" s="4" t="inlineStr">
        <is>
          <t>Berrybase. Verdrahtung im Gehäuse (gelötet)</t>
        </is>
      </c>
    </row>
    <row r="20">
      <c r="A20" s="4" t="n">
        <v>16</v>
      </c>
      <c r="B20" s="4" t="inlineStr">
        <is>
          <t>Schrumpfschlauch</t>
        </is>
      </c>
      <c r="C20" s="4" t="inlineStr">
        <is>
          <t>Schrumpfschlauch-Set 100-teilig, schwarz</t>
        </is>
      </c>
      <c r="D20" s="4" t="inlineStr">
        <is>
          <t>100 Stk.</t>
        </is>
      </c>
      <c r="E20" s="5" t="inlineStr">
        <is>
          <t>neu</t>
        </is>
      </c>
      <c r="F20" s="6" t="n">
        <v>2.8</v>
      </c>
      <c r="G20" s="7" t="inlineStr">
        <is>
          <t>https://www.berrybase.de/schrumpfschlauch-set-100-teilig-in-sortimentsbox-schwarz</t>
        </is>
      </c>
      <c r="H20" s="4" t="inlineStr">
        <is>
          <t>Berrybase. Lötstellen isolieren</t>
        </is>
      </c>
    </row>
    <row r="21">
      <c r="A21" s="4" t="n">
        <v>17</v>
      </c>
      <c r="B21" s="4" t="inlineStr">
        <is>
          <t>Klebeband</t>
        </is>
      </c>
      <c r="C21" s="4" t="inlineStr">
        <is>
          <t>TESA doppelseitiges Klebeband 10 m × 12 mm</t>
        </is>
      </c>
      <c r="D21" s="4" t="inlineStr">
        <is>
          <t>1 Rolle</t>
        </is>
      </c>
      <c r="E21" s="5" t="inlineStr">
        <is>
          <t>neu</t>
        </is>
      </c>
      <c r="F21" s="6" t="n">
        <v>2.9</v>
      </c>
      <c r="G21" s="7" t="inlineStr">
        <is>
          <t>https://www.berrybase.de/tesa-doppelseitiges-klebeband-10m-x-12mm-transparent-pp-traeger-loesungsmittelfrei</t>
        </is>
      </c>
      <c r="H21" s="4" t="inlineStr">
        <is>
          <t>Berrybase. Module fixieren; nur 1 Stk. auf Lager (Alternative: Heißkleber)</t>
        </is>
      </c>
    </row>
    <row r="22">
      <c r="A22" s="4" t="n">
        <v>18</v>
      </c>
      <c r="B22" s="4" t="inlineStr">
        <is>
          <t>Kabelbinder</t>
        </is>
      </c>
      <c r="C22" s="4" t="inlineStr">
        <is>
          <t>Kabelbinder UV-beständig 100 × 2,5 mm</t>
        </is>
      </c>
      <c r="D22" s="4" t="inlineStr">
        <is>
          <t>100 Stk.</t>
        </is>
      </c>
      <c r="E22" s="5" t="inlineStr">
        <is>
          <t>neu</t>
        </is>
      </c>
      <c r="F22" s="6" t="n">
        <v>0.6</v>
      </c>
      <c r="G22" s="7" t="inlineStr">
        <is>
          <t>https://www.berrybase.de/kabelbinder-uv-bestaendig-nylon-100-stueck/farbe-transparent/masse-100x2-5mm</t>
        </is>
      </c>
      <c r="H22" s="4" t="inlineStr">
        <is>
          <t>Berrybase. Kabel ordnen</t>
        </is>
      </c>
    </row>
    <row r="23">
      <c r="A23" s="4" t="n">
        <v>19</v>
      </c>
      <c r="B23" s="4" t="inlineStr">
        <is>
          <t>JST-Kabel CYD</t>
        </is>
      </c>
      <c r="C23" s="4" t="inlineStr">
        <is>
          <t>Micro JST 1,25 mm Stecker + Buchse mit Kabel (4-polig wählen)</t>
        </is>
      </c>
      <c r="D23" s="4" t="inlineStr">
        <is>
          <t>Set</t>
        </is>
      </c>
      <c r="E23" s="14" t="inlineStr">
        <is>
          <t>nur AliExpress</t>
        </is>
      </c>
      <c r="F23" s="6" t="n">
        <v>1.49</v>
      </c>
      <c r="G23" s="7" t="inlineStr">
        <is>
          <t>https://de.aliexpress.com/item/4001171710583.html</t>
        </is>
      </c>
      <c r="H23" s="4" t="inlineStr">
        <is>
          <t>NUR ALIEXPRESS, ab-Preis laut Suchliste, 1–3 Wochen. Für CN1/P3/P1. Entfällt, wenn Kabel beim CYD dabei sind oder direkt angelötet wird</t>
        </is>
      </c>
    </row>
    <row r="24">
      <c r="A24" s="4" t="n">
        <v>20</v>
      </c>
      <c r="B24" s="4" t="inlineStr">
        <is>
          <t>microSD-Sniffer</t>
        </is>
      </c>
      <c r="C24" s="4" t="inlineStr">
        <is>
          <t>Micro SD Sniffer TF-Adapterplatine</t>
        </is>
      </c>
      <c r="D24" s="4" t="inlineStr">
        <is>
          <t>1 Stk.</t>
        </is>
      </c>
      <c r="E24" s="14" t="inlineStr">
        <is>
          <t>nur AliExpress</t>
        </is>
      </c>
      <c r="F24" s="6" t="n">
        <v>2.39</v>
      </c>
      <c r="G24" s="7" t="inlineStr">
        <is>
          <t>https://de.aliexpress.com/item/1005009886368149.html</t>
        </is>
      </c>
      <c r="H24" s="4" t="inlineStr">
        <is>
          <t>NUR ALIEXPRESS, ab-Preis laut Suchliste, 1–3 Wochen. Für GPIO 18/19/23 am SD-Slot; entfällt, wenn an die Lötpunkte gelötet wird</t>
        </is>
      </c>
    </row>
    <row r="25">
      <c r="A25" s="4" t="n">
        <v>21</v>
      </c>
      <c r="B25" s="4" t="inlineStr">
        <is>
          <t>Gehäuse-Material</t>
        </is>
      </c>
      <c r="C25" s="4" t="inlineStr">
        <is>
          <t>SUNLU PLA 1,75 mm, 1 kg</t>
        </is>
      </c>
      <c r="D25" s="4" t="inlineStr">
        <is>
          <t>1 kg</t>
        </is>
      </c>
      <c r="E25" s="5" t="inlineStr">
        <is>
          <t>Preis aktualisiert</t>
        </is>
      </c>
      <c r="F25" s="6" t="n">
        <v>14.99</v>
      </c>
      <c r="G25" s="7" t="inlineStr">
        <is>
          <t>https://www.amazon.de/dp/B0BTHSVQ89</t>
        </is>
      </c>
      <c r="H25" s="4" t="inlineStr">
        <is>
          <t>Amazon. Angebot 11,29 € abgelaufen. Ca. 128 g nötig (Unterschale ca. 80, Deckel 16, Pad 27, Kappe 1, Diffusor ca. 4); entfällt, wenn die Schule Filament stellt</t>
        </is>
      </c>
    </row>
    <row r="26">
      <c r="A26" s="4" t="n">
        <v>22</v>
      </c>
      <c r="B26" s="4" t="inlineStr">
        <is>
          <t>Abdeckkappe</t>
        </is>
      </c>
      <c r="C26" s="4" t="inlineStr">
        <is>
          <t>Steckbare Kappe für die CYD-USB-Öffnung (3D-Druck)</t>
        </is>
      </c>
      <c r="D26" s="4" t="inlineStr">
        <is>
          <t>1 Stk.</t>
        </is>
      </c>
      <c r="E26" s="5" t="inlineStr">
        <is>
          <t>neu</t>
        </is>
      </c>
      <c r="F26" s="6" t="n">
        <v>0</v>
      </c>
      <c r="G26" s="7" t="n"/>
      <c r="H26" s="4" t="inlineStr">
        <is>
          <t>Aus dem PLA von oben gedruckt (ca. 1 g), keine Extrakosten</t>
        </is>
      </c>
    </row>
    <row r="27">
      <c r="A27" s="4" t="n">
        <v>23</v>
      </c>
      <c r="B27" s="4" t="inlineStr">
        <is>
          <t>Diffusor-Leiste</t>
        </is>
      </c>
      <c r="C27" s="4" t="inlineStr">
        <is>
          <t>Gedruckte Diffusor-Leiste vor dem LED-Streifen (3D-Druck, 166,7 × 16,7 × 1 mm)</t>
        </is>
      </c>
      <c r="D27" s="4" t="inlineStr">
        <is>
          <t>1 Stk.</t>
        </is>
      </c>
      <c r="E27" s="5" t="inlineStr">
        <is>
          <t>neu</t>
        </is>
      </c>
      <c r="F27" s="6" t="n">
        <v>0</v>
      </c>
      <c r="G27" s="7" t="n"/>
      <c r="H27" s="4" t="inlineStr">
        <is>
          <t>Aus weißem PLA oder naturfarbenem PETG gedruckt (ca. 4 g, 1 mm, 100 % Füllung, flach). Keine Extrakosten, wenn das PLA von Pos. 21 weiß ist oder die Schule weißes Filament stellt</t>
        </is>
      </c>
    </row>
    <row r="28">
      <c r="B28" s="8" t="inlineStr">
        <is>
          <t>Summe Bauteile</t>
        </is>
      </c>
      <c r="F28" s="9">
        <f>SUM(F5:F27)</f>
        <v/>
      </c>
    </row>
    <row r="30">
      <c r="B30" s="8" t="inlineStr">
        <is>
          <t>Versand</t>
        </is>
      </c>
    </row>
    <row r="31">
      <c r="B31" s="10" t="inlineStr">
        <is>
          <t>Versand Amazon</t>
        </is>
      </c>
      <c r="F31" s="11">
        <f>IF(F5+F6+F7+F9+F10+F11+F14+F25&gt;=49,0,3.99)</f>
        <v/>
      </c>
      <c r="H31" s="4" t="inlineStr">
        <is>
          <t>Frei ab 49 € (nur Artikel mit „Versand durch Amazon“), sonst 3,99 € – im Warenkorb prüfen</t>
        </is>
      </c>
    </row>
    <row r="32">
      <c r="B32" s="10" t="inlineStr">
        <is>
          <t>Versand Berrybase</t>
        </is>
      </c>
      <c r="F32" s="11">
        <f>IF(F8+F12+F13+F18+F19+F20+F21+F22&gt;=150,0,4.95)</f>
        <v/>
      </c>
      <c r="H32" s="4" t="inlineStr">
        <is>
          <t>DHL 4,95 €, frei ab 150 €</t>
        </is>
      </c>
    </row>
    <row r="33">
      <c r="B33" s="10" t="inlineStr">
        <is>
          <t>Versand alleschrauben.de</t>
        </is>
      </c>
      <c r="F33" s="11" t="n"/>
      <c r="H33" s="4" t="inlineStr">
        <is>
          <t>Nicht lesbar – wird erst im Warenkorb angezeigt (frei ab 79 €), im Warenkorb prüfen</t>
        </is>
      </c>
    </row>
    <row r="34">
      <c r="B34" s="10" t="inlineStr">
        <is>
          <t>Versand AliExpress (Pos. 19/20)</t>
        </is>
      </c>
      <c r="F34" s="11" t="n"/>
      <c r="H34" s="4" t="inlineStr">
        <is>
          <t>Nicht lesbar – im Warenkorb prüfen (Choice-Artikel meist frei ab 10 €)</t>
        </is>
      </c>
    </row>
    <row r="35">
      <c r="B35" s="8" t="inlineStr">
        <is>
          <t>Summe Versand (bekannt)</t>
        </is>
      </c>
      <c r="F35" s="9">
        <f>SUM(F31:F34)</f>
        <v/>
      </c>
    </row>
    <row r="37">
      <c r="B37" s="10" t="inlineStr">
        <is>
          <t>Puffer 10 % (Verschnitt, Ersatz, unbekannter Versand)</t>
        </is>
      </c>
      <c r="F37" s="11">
        <f>ROUND(F28*0.1,2)</f>
        <v/>
      </c>
    </row>
    <row r="38">
      <c r="B38" s="12" t="inlineStr">
        <is>
          <t>Gesamt geplant</t>
        </is>
      </c>
      <c r="F38" s="13">
        <f>F28+F35+F37</f>
        <v/>
      </c>
    </row>
    <row r="39">
      <c r="B39" s="10" t="inlineStr">
        <is>
          <t>Gesamt ohne PLA (falls die Schule druckt)</t>
        </is>
      </c>
      <c r="F39" s="11">
        <f>F38-F25-ROUND(F25*0.1,2)</f>
        <v/>
      </c>
      <c r="H39" s="4" t="inlineStr">
        <is>
          <t>Amazon bleibt auch ohne PLA über 49 € → Versand unverändert</t>
        </is>
      </c>
    </row>
    <row r="41">
      <c r="B41" s="8" t="inlineStr">
        <is>
          <t>Optional (nicht in der Summe)</t>
        </is>
      </c>
    </row>
    <row r="42">
      <c r="A42" s="4" t="n"/>
      <c r="B42" s="4" t="inlineStr">
        <is>
          <t>Kabel (Test)</t>
        </is>
      </c>
      <c r="C42" s="4" t="inlineStr">
        <is>
          <t>Elegoo Jumperkabel-Set</t>
        </is>
      </c>
      <c r="D42" s="4" t="inlineStr">
        <is>
          <t>1 Set</t>
        </is>
      </c>
      <c r="E42" s="4" t="inlineStr">
        <is>
          <t>optional</t>
        </is>
      </c>
      <c r="F42" s="6" t="n">
        <v>6.99</v>
      </c>
      <c r="G42" s="7" t="inlineStr">
        <is>
          <t>https://www.amazon.de/dp/B01EV70C78</t>
        </is>
      </c>
      <c r="H42" s="4" t="inlineStr">
        <is>
          <t>Amazon. Nur für einen Breadboard-Testaufbau; im fertigen Gerät wird mit Litze gelötet</t>
        </is>
      </c>
    </row>
    <row r="43">
      <c r="A43" s="4" t="n"/>
      <c r="B43" s="4" t="inlineStr">
        <is>
          <t>Akku-Verlängerung</t>
        </is>
      </c>
      <c r="C43" s="4" t="inlineStr">
        <is>
          <t>Verlängerungskabel 2-polig JST-PH 2.0, Stecker/Buchse, 50 cm</t>
        </is>
      </c>
      <c r="D43" s="4" t="inlineStr">
        <is>
          <t>1 Stk.</t>
        </is>
      </c>
      <c r="E43" s="4" t="inlineStr">
        <is>
          <t>optional</t>
        </is>
      </c>
      <c r="F43" s="6" t="n">
        <v>0.9</v>
      </c>
      <c r="G43" s="7" t="inlineStr">
        <is>
          <t>https://www.berrybase.de/verlaengerungskabel-2-pin-jst-ph-2.0mm-stecker-buchse-awg24-50cm</t>
        </is>
      </c>
      <c r="H43" s="4" t="inlineStr">
        <is>
          <t>Berrybase. Damit der Akku-Stecker nicht abgeschnitten werden muss</t>
        </is>
      </c>
    </row>
  </sheetData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42" r:id="rId22"/>
    <hyperlink xmlns:r="http://schemas.openxmlformats.org/officeDocument/2006/relationships" ref="G43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55" customWidth="1" min="1" max="1"/>
    <col width="50" customWidth="1" min="2" max="2"/>
  </cols>
  <sheetData>
    <row r="1">
      <c r="A1" s="8" t="inlineStr">
        <is>
          <t>Gestrichenes Teil</t>
        </is>
      </c>
      <c r="B1" s="8" t="inlineStr">
        <is>
          <t>Grund</t>
        </is>
      </c>
    </row>
    <row r="2">
      <c r="A2" t="inlineStr">
        <is>
          <t>AZDelivery ESP32 DevKit 3er-Pack (B074RGW2VQ), 21,99 €</t>
        </is>
      </c>
      <c r="B2" t="inlineStr">
        <is>
          <t>ESP32 ist jetzt im Display-Board eingebaut</t>
        </is>
      </c>
    </row>
    <row r="3">
      <c r="A3" t="inlineStr">
        <is>
          <t>Fasizi 2,8" ILI9341 Touch-Display (B09Z29CGY1), 10,99 €</t>
        </is>
      </c>
      <c r="B3" t="inlineStr">
        <is>
          <t>Ersetzt durch Fastsaw ESP32-Display-Board</t>
        </is>
      </c>
    </row>
    <row r="4">
      <c r="A4" t="inlineStr">
        <is>
          <t>Rundes GC9A01-Display (B0DB5MR27T)</t>
        </is>
      </c>
      <c r="B4" t="inlineStr">
        <is>
          <t>Rechteckiges Design</t>
        </is>
      </c>
    </row>
    <row r="5">
      <c r="A5" t="inlineStr">
        <is>
          <t>WS2812 LED-Ring (B0GYF2PHV1)</t>
        </is>
      </c>
      <c r="B5" t="inlineStr">
        <is>
          <t>Ersetzt durch LED-Leiste an der Vorderkante</t>
        </is>
      </c>
    </row>
    <row r="6">
      <c r="A6" t="inlineStr">
        <is>
          <t>Blumtal Trinkflasche (B09FDZX7LC)</t>
        </is>
      </c>
      <c r="B6" t="inlineStr">
        <is>
          <t>Keine eigene Flasche mehr, jede Flasche passt</t>
        </is>
      </c>
    </row>
    <row r="7">
      <c r="A7" t="inlineStr">
        <is>
          <t>O-Ringe (B0DC69DWRT)</t>
        </is>
      </c>
      <c r="B7" t="inlineStr">
        <is>
          <t>Waren für die Flaschen-Abdichtung, nicht mehr nötig</t>
        </is>
      </c>
    </row>
    <row r="8">
      <c r="A8" t="inlineStr">
        <is>
          <t>Aihasd Regensensor LM393 2er-Pack (B017M1NJR0), 5,99 €</t>
        </is>
      </c>
      <c r="B8" t="inlineStr">
        <is>
          <t>Ersetzt durch gleichwertigen Regensensor von Berrybase (1,80 €)</t>
        </is>
      </c>
    </row>
    <row r="9">
      <c r="A9" t="inlineStr">
        <is>
          <t>InLine Gummipuffer 12 mm, 20 Stk. (B09LDCTQGY), 5,45 €</t>
        </is>
      </c>
      <c r="B9" t="inlineStr">
        <is>
          <t>Ersetzt durch Berrybase FIX&amp;FASTEN Ø10 mm, 4 Stk. (0,60 €); nur 4 Stück nötig</t>
        </is>
      </c>
    </row>
    <row r="10">
      <c r="A10" t="inlineStr">
        <is>
          <t>MT3608 Step-up-Wandler (z. B. AZDelivery B07YWKN9NW)</t>
        </is>
      </c>
      <c r="B10" t="inlineStr">
        <is>
          <t>Nicht genommen: Spannung per Poti, bei 3,7 → 5 V laut Rezensionen nur ca. 0,5 A; Angebot derzeit nicht verfügbar → Pololu S13V10F5</t>
        </is>
      </c>
    </row>
    <row r="11">
      <c r="A11" t="inlineStr">
        <is>
          <t>BTF-LIGHTING WS2812 ECO LED-Streifen 1 m, 60 LED/m, 10 mm (B088BRY2SH), 9,49 €</t>
        </is>
      </c>
      <c r="B11" t="inlineStr">
        <is>
          <t>Ersetzt durch COB-Streifen BTF-LIGHTING WS2812B FCOB (B0H41MCVSW): einzelne LEDs als Punkte sichtbar und 10 mm breit; der COB-Streifen ist 5 mm schmal und gibt hinter der Diffusor-Leiste eine gleichmäßige Lichtlinie (26 statt 10 LEDs)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2026-10-06T09:55:13Z</dcterms:created>
  <dcterms:modified xmlns:dcterms="http://purl.org/dc/terms/" xmlns:xsi="http://www.w3.org/2001/XMLSchema-instance" xsi:type="dcterms:W3CDTF">2026-10-08T10:16:49Z</dcterms:modified>
</cp:coreProperties>
</file>