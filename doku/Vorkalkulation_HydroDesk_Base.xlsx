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Vorkalkulation" sheetId="1" state="visible" r:id="rId1"/>
    <sheet xmlns:r="http://schemas.openxmlformats.org/officeDocument/2006/relationships" name="Gestrichen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#,##0.00&quot; €&quot;"/>
    <numFmt numFmtId="165" formatCode="#,##0.00 €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4"/>
    </font>
    <font>
      <name val="Cambria"/>
      <charset val="1"/>
      <family val="0"/>
      <i val="1"/>
      <sz val="9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color rgb="FF0563C1"/>
      <sz val="11"/>
      <u val="single"/>
    </font>
    <font>
      <name val="Cambria"/>
      <charset val="1"/>
      <family val="0"/>
      <b val="1"/>
      <sz val="11"/>
    </font>
    <font>
      <name val="Cambria"/>
      <charset val="1"/>
      <family val="0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FF1F6FB2"/>
        <bgColor rgb="FF0563C1"/>
      </patternFill>
    </fill>
    <fill>
      <patternFill patternType="solid">
        <fgColor rgb="FFE2F0D9"/>
        <bgColor rgb="FFFFF2CC"/>
      </patternFill>
    </fill>
    <fill>
      <patternFill patternType="solid">
        <fgColor rgb="FFFFF2CC"/>
        <bgColor rgb="FFE2F0D9"/>
      </patternFill>
    </fill>
    <fill>
      <patternFill patternType="solid">
        <fgColor rgb="00C6EFCE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4" fontId="0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general" vertical="top" wrapText="1"/>
    </xf>
    <xf numFmtId="0" fontId="0" fillId="4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0" fontId="8" fillId="4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top" wrapText="1"/>
    </xf>
    <xf numFmtId="0" fontId="10" fillId="5" borderId="0" pivotButton="0" quotePrefix="0" xfId="0"/>
    <xf numFmtId="0" fontId="0" fillId="0" borderId="1" applyAlignment="1" pivotButton="0" quotePrefix="0" xfId="0">
      <alignment horizontal="general" vertical="top" wrapText="1"/>
    </xf>
    <xf numFmtId="164" fontId="0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5" fontId="0" fillId="0" borderId="0" pivotButton="0" quotePrefix="0" xfId="0"/>
    <xf numFmtId="0" fontId="0" fillId="3" borderId="1" applyAlignment="1" pivotButton="0" quotePrefix="0" xfId="0">
      <alignment horizontal="general" vertical="top" wrapText="1"/>
    </xf>
    <xf numFmtId="0" fontId="0" fillId="4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0" fontId="8" fillId="4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general" vertical="bottom"/>
    </xf>
    <xf numFmtId="0" fontId="10" fillId="0" borderId="0" pivotButton="0" quotePrefix="0" xfId="0"/>
    <xf numFmtId="165" fontId="10" fillId="6" borderId="2" pivotButton="0" quotePrefix="0" xfId="0"/>
    <xf numFmtId="165" fontId="0" fillId="0" borderId="2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B2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amazon.de/dp/B0G1N16Q16" TargetMode="External" Id="rId1"/><Relationship Type="http://schemas.openxmlformats.org/officeDocument/2006/relationships/hyperlink" Target="https://www.amazon.de/dp/B0B9H3YMT2" TargetMode="External" Id="rId2"/><Relationship Type="http://schemas.openxmlformats.org/officeDocument/2006/relationships/hyperlink" Target="https://www.amazon.de/dp/B0H41MCVSW" TargetMode="External" Id="rId3"/><Relationship Type="http://schemas.openxmlformats.org/officeDocument/2006/relationships/hyperlink" Target="https://www.berrybase.de/regensensor-mit-digitalem-und-analogem-ausgang" TargetMode="External" Id="rId4"/><Relationship Type="http://schemas.openxmlformats.org/officeDocument/2006/relationships/hyperlink" Target="https://www.reichelt.de/de/de/shop/produkt/mosfet_p-ch_-30v_-4a_0_041r_sot-23-166486" TargetMode="External" Id="rId5"/><Relationship Type="http://schemas.openxmlformats.org/officeDocument/2006/relationships/hyperlink" Target="https://www.amazon.de/dp/B08214DJLJ" TargetMode="External" Id="rId6"/><Relationship Type="http://schemas.openxmlformats.org/officeDocument/2006/relationships/hyperlink" Target="https://www.amazon.de/dp/B0F67KYB4F" TargetMode="External" Id="rId7"/><Relationship Type="http://schemas.openxmlformats.org/officeDocument/2006/relationships/hyperlink" Target="https://www.berrybase.de/pololu-s13v10f5-5v-1a-step-up-step-down-converter" TargetMode="External" Id="rId8"/><Relationship Type="http://schemas.openxmlformats.org/officeDocument/2006/relationships/hyperlink" Target="https://www.berrybase.de/fix-fasten-selbstklebender-fuss-rund-oben-9-5mm-unten-10mm-hoehe-4-5mm-gummi-schwarz" TargetMode="External" Id="rId9"/><Relationship Type="http://schemas.openxmlformats.org/officeDocument/2006/relationships/hyperlink" Target="https://www.amazon.de/dp/B0GVNMS4DZ" TargetMode="External" Id="rId10"/><Relationship Type="http://schemas.openxmlformats.org/officeDocument/2006/relationships/hyperlink" Target="https://alleschrauben.de/Schrauben/Senkkopf/Senkkopfschrauben-DIN-7991/Senkkopfschrauben-M3x12-mit-Innensechskant-DIN-7991-Edelstahl-A2" TargetMode="External" Id="rId11"/><Relationship Type="http://schemas.openxmlformats.org/officeDocument/2006/relationships/hyperlink" Target="https://alleschrauben.de/Schrauben/Senkkopf/Senkkopfschrauben-DIN-7991/Senkkopfschrauben-M4x10-mit-Innensechskant-DIN-7991-Edelstahl-A2" TargetMode="External" Id="rId12"/><Relationship Type="http://schemas.openxmlformats.org/officeDocument/2006/relationships/hyperlink" Target="https://alleschrauben.de/Schrauben/Senkkopf/Senkkopfschrauben-DIN-7991/Senkkopfschrauben-M5x12-mit-Innensechskant-DIN-7991-Edelstahl-A2" TargetMode="External" Id="rId13"/><Relationship Type="http://schemas.openxmlformats.org/officeDocument/2006/relationships/hyperlink" Target="https://www.berrybase.de/metallschichtwiderstand-10-0-kohm-1-4w-1-0207-axial-durchsteckmontage" TargetMode="External" Id="rId14"/><Relationship Type="http://schemas.openxmlformats.org/officeDocument/2006/relationships/hyperlink" Target="https://www.berrybase.de/vierlingslitze-isoliert-4x0-14mm-5m-farbe-blau-gelb-rot-gruen" TargetMode="External" Id="rId15"/><Relationship Type="http://schemas.openxmlformats.org/officeDocument/2006/relationships/hyperlink" Target="https://www.berrybase.de/schrumpfschlauch-set-100-teilig-in-sortimentsbox-schwarz" TargetMode="External" Id="rId16"/><Relationship Type="http://schemas.openxmlformats.org/officeDocument/2006/relationships/hyperlink" Target="https://www.berrybase.de/tesa-doppelseitiges-klebeband-10m-x-12mm-transparent-pp-traeger-loesungsmittelfrei" TargetMode="External" Id="rId17"/><Relationship Type="http://schemas.openxmlformats.org/officeDocument/2006/relationships/hyperlink" Target="https://www.berrybase.de/kabelbinder-uv-bestaendig-nylon-100-stueck/farbe-transparent/masse-100x2-5mm" TargetMode="External" Id="rId18"/><Relationship Type="http://schemas.openxmlformats.org/officeDocument/2006/relationships/hyperlink" Target="https://de.aliexpress.com/item/4001171710583.html" TargetMode="External" Id="rId19"/><Relationship Type="http://schemas.openxmlformats.org/officeDocument/2006/relationships/hyperlink" Target="https://de.aliexpress.com/item/1005009886368149.html" TargetMode="External" Id="rId20"/><Relationship Type="http://schemas.openxmlformats.org/officeDocument/2006/relationships/hyperlink" Target="https://www.amazon.de/dp/B0BTHSVQ89" TargetMode="External" Id="rId21"/><Relationship Type="http://schemas.openxmlformats.org/officeDocument/2006/relationships/hyperlink" Target="https://www.berrybase.de/bc547b-bipolarer-transistor-npn-45v-100ma-to-92-3-pin" TargetMode="External" Id="rId22"/><Relationship Type="http://schemas.openxmlformats.org/officeDocument/2006/relationships/hyperlink" Target="https://www.berrybase.de/metallschichtwiderstand-470-0-ohm-1-4w-1-0207-axial-durchsteckmontage" TargetMode="External" Id="rId23"/><Relationship Type="http://schemas.openxmlformats.org/officeDocument/2006/relationships/hyperlink" Target="https://www.berrybase.de/metallschichtwiderstand-4-7-kohm-1-4w-1-0207-axial-durchsteckmontage" TargetMode="External" Id="rId24"/><Relationship Type="http://schemas.openxmlformats.org/officeDocument/2006/relationships/hyperlink" Target="https://www.berrybase.de/metallschichtwiderstand-47-0-kohm-1-4w-1-0207-axial-durchsteckmontage" TargetMode="External" Id="rId25"/><Relationship Type="http://schemas.openxmlformats.org/officeDocument/2006/relationships/hyperlink" Target="https://www.berrybase.de/metallschichtwiderstand-10-0-kohm-1-4w-1-0207-axial-durchsteckmontage" TargetMode="External" Id="rId26"/><Relationship Type="http://schemas.openxmlformats.org/officeDocument/2006/relationships/hyperlink" Target="https://www.berrybase.de/smd-breakout-adapter-fuer-sot23-ssop10-msop10-10-pin-0-50mm-0-95mm" TargetMode="External" Id="rId27"/><Relationship Type="http://schemas.openxmlformats.org/officeDocument/2006/relationships/hyperlink" Target="https://www.berrybase.de/elektrolytkondensator-470-f-25v-1050c-1-radial-tht" TargetMode="External" Id="rId28"/><Relationship Type="http://schemas.openxmlformats.org/officeDocument/2006/relationships/hyperlink" Target="https://www.berrybase.de/lochrasterplatine-9x15cm-mit-einseitiger-kupferauflage" TargetMode="External" Id="rId29"/><Relationship Type="http://schemas.openxmlformats.org/officeDocument/2006/relationships/hyperlink" Target="https://www.berrybase.de/schiebeschalter-printmontage-on-on-2-stellig-8.6x4.3x4mm-gerade" TargetMode="External" Id="rId30"/><Relationship Type="http://schemas.openxmlformats.org/officeDocument/2006/relationships/hyperlink" Target="https://www.berrybase.de/stiftleiste-1x-20-polig-rm-2-54-gerade" TargetMode="External" Id="rId3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6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5" customWidth="1" style="16" min="1" max="1"/>
    <col width="24" customWidth="1" style="16" min="2" max="2"/>
    <col width="44" customWidth="1" style="16" min="3" max="3"/>
    <col width="13" customWidth="1" style="16" min="4" max="4"/>
    <col width="15" customWidth="1" style="16" min="5" max="5"/>
    <col width="11" customWidth="1" style="16" min="6" max="6"/>
    <col width="36" customWidth="1" style="16" min="7" max="7"/>
    <col width="55" customWidth="1" style="16" min="8" max="8"/>
    <col width="28" customWidth="1" style="17" min="9" max="9"/>
  </cols>
  <sheetData>
    <row r="1" ht="17.25" customHeight="1" s="17">
      <c r="A1" s="18" t="inlineStr">
        <is>
          <t>Vorkalkulation HydroDesk Base (Rechteck-Version, ESP32 mit Touch-Display)</t>
        </is>
      </c>
    </row>
    <row r="2" ht="15" customHeight="1" s="17">
      <c r="A2" s="19" t="inlineStr">
        <is>
          <t>Stand 09.10.2026 (V4: Stromsparen H1/H2, Preise der neuen Teile am 09.10.2026 auf den Shopseiten abgelesen und geprüft; übrige Preise 08.10.2026): Preise inkl. MwSt. ohne Anmeldung abgelesen auf Amazon.de, Berrybase.de, Reichelt.de, alleschrauben.de und AliExpress (nur ab-Preis laut Suchliste). Basis: Korb „Schnell (DE-Shops, 1–3 Tage)“ aus Einkaufsliste_HydroDesk_guenstig.xlsx. Preise können sich ändern. | Tatsächliche Bestellung 16.10.2026: 122,13 € (Amazon 69,52 Nr. 303-9574488-4297123 + Berrybase 35,46 Nr. 1086360 + alleschrauben.de 10,35 + Reichelt 6,80). Spalte „Tatsächlich (€)“ = gezahlter Packungspreis. Versand: Amazon 0, Berrybase 4,95, alleschrauben 5,49, Reichelt 5,95. microSD-Sniffer und PLA nicht bestellt. Details: Bestellung_HydroDesk_16-10-2026.xlsx / Blatt „Tatsächliche Bestellung“.</t>
        </is>
      </c>
    </row>
    <row r="3" ht="15" customHeight="1" s="17"/>
    <row r="4" ht="27.75" customHeight="1" s="17">
      <c r="A4" s="20" t="inlineStr">
        <is>
          <t>Pos.</t>
        </is>
      </c>
      <c r="B4" s="20" t="inlineStr">
        <is>
          <t>Bauteil</t>
        </is>
      </c>
      <c r="C4" s="20" t="inlineStr">
        <is>
          <t>Produkt</t>
        </is>
      </c>
      <c r="D4" s="20" t="inlineStr">
        <is>
          <t>Inhalt Packung</t>
        </is>
      </c>
      <c r="E4" s="20" t="inlineStr">
        <is>
          <t>Status</t>
        </is>
      </c>
      <c r="F4" s="20" t="inlineStr">
        <is>
          <t>Preis (€)</t>
        </is>
      </c>
      <c r="G4" s="20" t="inlineStr">
        <is>
          <t>Link</t>
        </is>
      </c>
      <c r="H4" s="20" t="inlineStr">
        <is>
          <t>Hinweis</t>
        </is>
      </c>
      <c r="I4" s="21" t="inlineStr">
        <is>
          <t>Tatsächlich (€)</t>
        </is>
      </c>
    </row>
    <row r="5" ht="27.75" customHeight="1" s="17">
      <c r="A5" s="22" t="n">
        <v>1</v>
      </c>
      <c r="B5" s="22" t="inlineStr">
        <is>
          <t>ESP32 + Touch-Display</t>
        </is>
      </c>
      <c r="C5" s="22" t="inlineStr">
        <is>
          <t>Fastsaw ESP32 mit 2,8" ILI9341 Touch (320×240), USB-C, TF-Slot</t>
        </is>
      </c>
      <c r="D5" s="22" t="inlineStr">
        <is>
          <t>1 Stk.</t>
        </is>
      </c>
      <c r="E5" s="22" t="inlineStr">
        <is>
          <t>übernommen</t>
        </is>
      </c>
      <c r="F5" s="23" t="n">
        <v>17.99</v>
      </c>
      <c r="G5" s="24" t="inlineStr">
        <is>
          <t>https://www.amazon.de/dp/B0G1N16Q16</t>
        </is>
      </c>
      <c r="H5" s="22" t="inlineStr">
        <is>
          <t>Amazon. Board-Typ ESP32-2432S028R („Cheap Yellow Display“). Prüfen, ob JST-1,25-Kabel beiliegt (sonst Pos. 19)</t>
        </is>
      </c>
      <c r="I5" s="25" t="n">
        <v>17.99</v>
      </c>
    </row>
    <row r="6" ht="27.75" customHeight="1" s="17">
      <c r="A6" s="22" t="n">
        <v>2</v>
      </c>
      <c r="B6" s="22" t="inlineStr">
        <is>
          <t>Wägezelle + Verstärker</t>
        </is>
      </c>
      <c r="C6" s="22" t="inlineStr">
        <is>
          <t>DIYmalls Wägezelle 5 kg + HX711</t>
        </is>
      </c>
      <c r="D6" s="22" t="inlineStr">
        <is>
          <t>1 Set</t>
        </is>
      </c>
      <c r="E6" s="22" t="inlineStr">
        <is>
          <t>übernommen</t>
        </is>
      </c>
      <c r="F6" s="23" t="n">
        <v>8.970000000000001</v>
      </c>
      <c r="G6" s="24" t="inlineStr">
        <is>
          <t>https://www.amazon.de/dp/B0B9H3YMT2</t>
        </is>
      </c>
      <c r="H6" s="22" t="inlineStr">
        <is>
          <t>Amazon. Keine Schrauben dabei (→ Pos. 12/13); HX711-Stiftleiste selbst löten</t>
        </is>
      </c>
      <c r="I6" s="25" t="n">
        <v>8.970000000000001</v>
      </c>
    </row>
    <row r="7" ht="95.25" customHeight="1" s="17">
      <c r="A7" s="22" t="n">
        <v>3</v>
      </c>
      <c r="B7" s="22" t="inlineStr">
        <is>
          <t>LED-Streifen (COB)</t>
        </is>
      </c>
      <c r="C7" s="22" t="inlineStr">
        <is>
          <t>BTF-LIGHTING WS2812B FCOB, 1 m, 160 LED/m, 5 V, 5 mm, jede LED einzeln adressierbar</t>
        </is>
      </c>
      <c r="D7" s="22" t="inlineStr">
        <is>
          <t>1 m</t>
        </is>
      </c>
      <c r="E7" s="26" t="inlineStr">
        <is>
          <t>ersetzt (Design-Änderung)</t>
        </is>
      </c>
      <c r="F7" s="23" t="n">
        <v>16.99</v>
      </c>
      <c r="G7" s="24" t="inlineStr">
        <is>
          <t>https://www.amazon.de/dp/B0H41MCVSW</t>
        </is>
      </c>
      <c r="H7" s="22" t="inlineStr">
        <is>
          <t>Amazon, Preis abgelesen 08.10.2026; Variante „1M 160LEDs/m 5mm“ wählen. 13 Segmente à 12,5 mm = 162,5 mm = 26 LEDs, hinter der gedruckten Diffusor-Leiste (Pos. 23) → durchgehende Lichtlinie. 330–470 Ω in DIN. Günstigste Alternative: AliExpress ab 7,59 € (https://de.aliexpress.com/item/1005006422072860.html, Preis der Variante nicht lesbar)</t>
        </is>
      </c>
      <c r="I7" s="25" t="n">
        <v>16.99</v>
      </c>
    </row>
    <row r="8" ht="27.75" customHeight="1" s="17">
      <c r="A8" s="22" t="n">
        <v>4</v>
      </c>
      <c r="B8" s="22" t="inlineStr">
        <is>
          <t>Feuchtigkeitssensor</t>
        </is>
      </c>
      <c r="C8" s="22" t="inlineStr">
        <is>
          <t>Regensensor LM393 mit digitalem und analogem Ausgang</t>
        </is>
      </c>
      <c r="D8" s="22" t="inlineStr">
        <is>
          <t>1 Set</t>
        </is>
      </c>
      <c r="E8" s="26" t="inlineStr">
        <is>
          <t>ersetzt (günstiger)</t>
        </is>
      </c>
      <c r="F8" s="23" t="n">
        <v>1.8</v>
      </c>
      <c r="G8" s="24" t="inlineStr">
        <is>
          <t>https://www.berrybase.de/regensensor-mit-digitalem-und-analogem-ausgang</t>
        </is>
      </c>
      <c r="H8" s="22" t="inlineStr">
        <is>
          <t>Berrybase. Gleiches Bauteil wie vorher, statt Aihasd 2er-Pack 5,99 €</t>
        </is>
      </c>
      <c r="I8" s="25" t="n">
        <v>1.8</v>
      </c>
    </row>
    <row r="9" ht="81.75" customHeight="1" s="17">
      <c r="A9" s="22" t="n">
        <v>5</v>
      </c>
      <c r="B9" s="22" t="inlineStr">
        <is>
          <t>LED-Strom + Ein/Aus (P-MOSFET)</t>
        </is>
      </c>
      <c r="C9" s="22" t="inlineStr">
        <is>
          <t>Alpha &amp; Omega AO3401A, P-Kanal, −30 V, −4 A, SOT-23</t>
        </is>
      </c>
      <c r="D9" s="22" t="inlineStr">
        <is>
          <t>2 Stk.</t>
        </is>
      </c>
      <c r="E9" s="22" t="inlineStr">
        <is>
          <t>ersetzt (Design-Änderung V4)</t>
        </is>
      </c>
      <c r="F9" s="23" t="n">
        <v>0.34</v>
      </c>
      <c r="G9" s="24" t="inlineStr">
        <is>
          <t>https://www.reichelt.de/de/de/shop/produkt/mosfet_p-ch_-30v_-4a_0_041r_sot-23-166486</t>
        </is>
      </c>
      <c r="H9" s="22" t="inlineStr">
        <is>
          <t>Reichelt, 2 × 0,17 €, ab Lager. Q1 schaltet die 5 V des LED-Streifens (High-Side, GPIO18 über BC547B), Q2 den Akku (Ein/Aus-Schalter). Ersetzt das GERUI-Modul (Low-Side, 3,3-V-Ansteuerung kritisch). Bei Berrybase kein P-MOSFET im Sortiment → eigener Reichelt-Versand (Zeile Versand Reichelt). Tipp: 1 Stück Ersatz mitbestellen (+0,17 €)</t>
        </is>
      </c>
      <c r="I9" s="25" t="n">
        <v>0.85</v>
      </c>
    </row>
    <row r="10" ht="27.75" customHeight="1" s="17">
      <c r="A10" s="22" t="n">
        <v>6</v>
      </c>
      <c r="B10" s="22" t="inlineStr">
        <is>
          <t>Akku</t>
        </is>
      </c>
      <c r="C10" s="22" t="inlineStr">
        <is>
          <t>EEMB LiPo 3,7 V 2000 mAh (LP103454), mit Schutzschaltung</t>
        </is>
      </c>
      <c r="D10" s="22" t="inlineStr">
        <is>
          <t>1 Stk.</t>
        </is>
      </c>
      <c r="E10" s="22" t="inlineStr">
        <is>
          <t>übernommen</t>
        </is>
      </c>
      <c r="F10" s="23" t="n">
        <v>10.99</v>
      </c>
      <c r="G10" s="24" t="inlineStr">
        <is>
          <t>https://www.amazon.de/dp/B08214DJLJ</t>
        </is>
      </c>
      <c r="H10" s="22" t="inlineStr">
        <is>
          <t>Amazon. 34,5 × 56 × 10,6 mm passt ins Fach; Polarität am JST-PH-Stecker vor dem Anstecken messen</t>
        </is>
      </c>
      <c r="I10" s="25" t="n">
        <v>10.99</v>
      </c>
    </row>
    <row r="11" ht="27.75" customHeight="1" s="17">
      <c r="A11" s="22" t="n">
        <v>7</v>
      </c>
      <c r="B11" s="22" t="inlineStr">
        <is>
          <t>Lademodul</t>
        </is>
      </c>
      <c r="C11" s="22" t="inlineStr">
        <is>
          <t>TC4056 USB-C Lademodul mit Schutz (10er-Pack)</t>
        </is>
      </c>
      <c r="D11" s="22" t="inlineStr">
        <is>
          <t>10 Stk.</t>
        </is>
      </c>
      <c r="E11" s="22" t="inlineStr">
        <is>
          <t>übernommen</t>
        </is>
      </c>
      <c r="F11" s="23" t="n">
        <v>6.99</v>
      </c>
      <c r="G11" s="24" t="inlineStr">
        <is>
          <t>https://www.amazon.de/dp/B0F67KYB4F</t>
        </is>
      </c>
      <c r="H11" s="22" t="inlineStr">
        <is>
          <t>Amazon. Länge vor dem Einbau messen (Fach 26 mm); billige Module laden evtl. nur mit USB-A→C-Kabel</t>
        </is>
      </c>
      <c r="I11" s="25" t="n">
        <v>6.99</v>
      </c>
    </row>
    <row r="12" ht="27.75" customHeight="1" s="17">
      <c r="A12" s="22" t="n">
        <v>8</v>
      </c>
      <c r="B12" s="22" t="inlineStr">
        <is>
          <t>5-V-Wandler</t>
        </is>
      </c>
      <c r="C12" s="22" t="inlineStr">
        <is>
          <t>Pololu S13V10F5, 5 V 1 A Step-Up/Step-Down</t>
        </is>
      </c>
      <c r="D12" s="22" t="inlineStr">
        <is>
          <t>1 Stk.</t>
        </is>
      </c>
      <c r="E12" s="26" t="inlineStr">
        <is>
          <t>neu</t>
        </is>
      </c>
      <c r="F12" s="23" t="n">
        <v>9.949999999999999</v>
      </c>
      <c r="G12" s="24" t="inlineStr">
        <is>
          <t>https://www.berrybase.de/pololu-s13v10f5-5v-1a-step-up-step-down-converter</t>
        </is>
      </c>
      <c r="H12" s="22" t="inlineStr">
        <is>
          <t>Berrybase. Fest 5 V, Unterspannungs-Abschaltung; kleiner als das 37 × 17 mm Fach → mit Klebeband fixieren. Statt MT3608</t>
        </is>
      </c>
      <c r="I12" s="25" t="n">
        <v>9.949999999999999</v>
      </c>
    </row>
    <row r="13" ht="27.75" customHeight="1" s="17">
      <c r="A13" s="22" t="n">
        <v>9</v>
      </c>
      <c r="B13" s="22" t="inlineStr">
        <is>
          <t>Gummifüße</t>
        </is>
      </c>
      <c r="C13" s="22" t="inlineStr">
        <is>
          <t>FIX&amp;FASTEN Fuß rund Ø10 mm, 4,5 mm hoch, selbstklebend</t>
        </is>
      </c>
      <c r="D13" s="22" t="inlineStr">
        <is>
          <t>4 Stk.</t>
        </is>
      </c>
      <c r="E13" s="26" t="inlineStr">
        <is>
          <t>ersetzt (günstiger)</t>
        </is>
      </c>
      <c r="F13" s="23" t="n">
        <v>0.6</v>
      </c>
      <c r="G13" s="24" t="inlineStr">
        <is>
          <t>https://www.berrybase.de/fix-fasten-selbstklebender-fuss-rund-oben-9-5mm-unten-10mm-hoehe-4-5mm-gummi-schwarz</t>
        </is>
      </c>
      <c r="H13" s="22" t="inlineStr">
        <is>
          <t>Berrybase. 4 × 0,15 €; passt in die Ø13-mm-Vertiefung. Statt InLine 20 Stk. 5,45 €</t>
        </is>
      </c>
      <c r="I13" s="25" t="n">
        <v>0.6</v>
      </c>
    </row>
    <row r="14" ht="27.75" customHeight="1" s="17">
      <c r="A14" s="22" t="n">
        <v>10</v>
      </c>
      <c r="B14" s="22" t="inlineStr">
        <is>
          <t>Flaschen-Pad</t>
        </is>
      </c>
      <c r="C14" s="22" t="inlineStr">
        <is>
          <t>FICOFISE Silikonmatte 40 × 30 cm, 1,2 mm, rutschfest</t>
        </is>
      </c>
      <c r="D14" s="22" t="inlineStr">
        <is>
          <t>1 Stk.</t>
        </is>
      </c>
      <c r="E14" s="22" t="inlineStr">
        <is>
          <t>übernommen</t>
        </is>
      </c>
      <c r="F14" s="23" t="n">
        <v>7.59</v>
      </c>
      <c r="G14" s="24" t="inlineStr">
        <is>
          <t>https://www.amazon.de/dp/B0GVNMS4DZ</t>
        </is>
      </c>
      <c r="H14" s="22" t="inlineStr">
        <is>
          <t>Amazon. Auf 86 × 86 mm zuschneiden; Silikon klebt kaum → Silikonkleber oder nur einlegen</t>
        </is>
      </c>
      <c r="I14" s="25" t="n">
        <v>7.59</v>
      </c>
    </row>
    <row r="15" ht="27.75" customHeight="1" s="17">
      <c r="A15" s="22" t="n">
        <v>11</v>
      </c>
      <c r="B15" s="22" t="inlineStr">
        <is>
          <t>Schrauben M3</t>
        </is>
      </c>
      <c r="C15" s="22" t="inlineStr">
        <is>
          <t>Senkkopfschraube M3×12 Innensechskant DIN 7991, Edelstahl A2</t>
        </is>
      </c>
      <c r="D15" s="22" t="inlineStr">
        <is>
          <t>10 Stk.</t>
        </is>
      </c>
      <c r="E15" s="26" t="inlineStr">
        <is>
          <t>neu</t>
        </is>
      </c>
      <c r="F15" s="23" t="n">
        <v>2.5</v>
      </c>
      <c r="G15" s="24" t="inlineStr">
        <is>
          <t>https://alleschrauben.de/Schrauben/Senkkopf/Senkkopfschrauben-DIN-7991/Senkkopfschrauben-M3x12-mit-Innensechskant-DIN-7991-Edelstahl-A2</t>
        </is>
      </c>
      <c r="H15" s="22" t="inlineStr">
        <is>
          <t>alleschrauben.de. 10 × 0,25 €, 8 werden gebraucht (Deckel, schneiden selbst ins 2,5-mm-Loch)</t>
        </is>
      </c>
      <c r="I15" s="25" t="n">
        <v>2.5</v>
      </c>
    </row>
    <row r="16" ht="27.75" customHeight="1" s="17">
      <c r="A16" s="22" t="n">
        <v>12</v>
      </c>
      <c r="B16" s="22" t="inlineStr">
        <is>
          <t>Schrauben M4</t>
        </is>
      </c>
      <c r="C16" s="22" t="inlineStr">
        <is>
          <t>Senkkopfschraube M4×10 Innensechskant DIN 7991, Edelstahl A2</t>
        </is>
      </c>
      <c r="D16" s="22" t="inlineStr">
        <is>
          <t>2 Stk.</t>
        </is>
      </c>
      <c r="E16" s="26" t="inlineStr">
        <is>
          <t>neu</t>
        </is>
      </c>
      <c r="F16" s="23" t="n">
        <v>1.12</v>
      </c>
      <c r="G16" s="24" t="inlineStr">
        <is>
          <t>https://alleschrauben.de/Schrauben/Senkkopf/Senkkopfschrauben-DIN-7991/Senkkopfschrauben-M4x10-mit-Innensechskant-DIN-7991-Edelstahl-A2</t>
        </is>
      </c>
      <c r="H16" s="22" t="inlineStr">
        <is>
          <t>alleschrauben.de. 2 × 0,56 €; Wägezelle, M4-Seite</t>
        </is>
      </c>
      <c r="I16" s="25" t="n">
        <v>1.12</v>
      </c>
    </row>
    <row r="17" ht="27.75" customHeight="1" s="17">
      <c r="A17" s="22" t="n">
        <v>13</v>
      </c>
      <c r="B17" s="22" t="inlineStr">
        <is>
          <t>Schrauben M5</t>
        </is>
      </c>
      <c r="C17" s="22" t="inlineStr">
        <is>
          <t>Senkkopfschraube M5×12 Innensechskant DIN 7991, Edelstahl A2</t>
        </is>
      </c>
      <c r="D17" s="22" t="inlineStr">
        <is>
          <t>2 Stk.</t>
        </is>
      </c>
      <c r="E17" s="26" t="inlineStr">
        <is>
          <t>neu</t>
        </is>
      </c>
      <c r="F17" s="23" t="n">
        <v>1.24</v>
      </c>
      <c r="G17" s="24" t="inlineStr">
        <is>
          <t>https://alleschrauben.de/Schrauben/Senkkopf/Senkkopfschrauben-DIN-7991/Senkkopfschrauben-M5x12-mit-Innensechskant-DIN-7991-Edelstahl-A2</t>
        </is>
      </c>
      <c r="H17" s="22" t="inlineStr">
        <is>
          <t>alleschrauben.de. 2 × 0,62 €; Wägezelle, M5-Seite</t>
        </is>
      </c>
      <c r="I17" s="25" t="n">
        <v>1.24</v>
      </c>
    </row>
    <row r="18" ht="41.25" customHeight="1" s="17">
      <c r="A18" s="22" t="n">
        <v>14</v>
      </c>
      <c r="B18" s="22" t="inlineStr">
        <is>
          <t>Widerstände</t>
        </is>
      </c>
      <c r="C18" s="22" t="inlineStr">
        <is>
          <t>Metallschichtwiderstand 10 kΩ, 1/4 W, 1 %</t>
        </is>
      </c>
      <c r="D18" s="22" t="inlineStr">
        <is>
          <t>2 Stk.</t>
        </is>
      </c>
      <c r="E18" s="26" t="inlineStr">
        <is>
          <t>neu</t>
        </is>
      </c>
      <c r="F18" s="23" t="n">
        <v>0.1</v>
      </c>
      <c r="G18" s="24" t="inlineStr">
        <is>
          <t>https://www.berrybase.de/metallschichtwiderstand-10-0-kohm-1-4w-1-0207-axial-durchsteckmontage</t>
        </is>
      </c>
      <c r="H18" s="22" t="inlineStr">
        <is>
          <t>Berrybase. Spannungsteiler Akku → GPIO35. 100 kΩ dort nicht lieferbar; 2 × 10 kΩ = gleiches Verhältnis (Firmware gleich), ca. 0,2 mA Dauerstrom</t>
        </is>
      </c>
      <c r="I18" s="25" t="n">
        <v>0.25</v>
      </c>
    </row>
    <row r="19" ht="27.75" customHeight="1" s="17">
      <c r="A19" s="22" t="n">
        <v>15</v>
      </c>
      <c r="B19" s="22" t="inlineStr">
        <is>
          <t>Litze</t>
        </is>
      </c>
      <c r="C19" s="22" t="inlineStr">
        <is>
          <t>Vierlingslitze 4 × 0,14 mm², 5 m (blau/gelb/rot/grün)</t>
        </is>
      </c>
      <c r="D19" s="22" t="inlineStr">
        <is>
          <t>5 m</t>
        </is>
      </c>
      <c r="E19" s="26" t="inlineStr">
        <is>
          <t>neu</t>
        </is>
      </c>
      <c r="F19" s="23" t="n">
        <v>3.5</v>
      </c>
      <c r="G19" s="24" t="inlineStr">
        <is>
          <t>https://www.berrybase.de/vierlingslitze-isoliert-4x0-14mm-5m-farbe-blau-gelb-rot-gruen</t>
        </is>
      </c>
      <c r="H19" s="22" t="inlineStr">
        <is>
          <t>Berrybase. Verdrahtung im Gehäuse (gelötet)</t>
        </is>
      </c>
      <c r="I19" s="25" t="n">
        <v>3.5</v>
      </c>
    </row>
    <row r="20" ht="15" customHeight="1" s="17">
      <c r="A20" s="22" t="n">
        <v>16</v>
      </c>
      <c r="B20" s="22" t="inlineStr">
        <is>
          <t>Schrumpfschlauch</t>
        </is>
      </c>
      <c r="C20" s="22" t="inlineStr">
        <is>
          <t>Schrumpfschlauch-Set 100-teilig, schwarz</t>
        </is>
      </c>
      <c r="D20" s="22" t="inlineStr">
        <is>
          <t>100 Stk.</t>
        </is>
      </c>
      <c r="E20" s="26" t="inlineStr">
        <is>
          <t>neu</t>
        </is>
      </c>
      <c r="F20" s="23" t="n">
        <v>2.8</v>
      </c>
      <c r="G20" s="24" t="inlineStr">
        <is>
          <t>https://www.berrybase.de/schrumpfschlauch-set-100-teilig-in-sortimentsbox-schwarz</t>
        </is>
      </c>
      <c r="H20" s="22" t="inlineStr">
        <is>
          <t>Berrybase. Lötstellen isolieren</t>
        </is>
      </c>
      <c r="I20" s="25" t="n">
        <v>2.8</v>
      </c>
    </row>
    <row r="21" ht="27.75" customHeight="1" s="17">
      <c r="A21" s="22" t="n">
        <v>17</v>
      </c>
      <c r="B21" s="22" t="inlineStr">
        <is>
          <t>Klebeband</t>
        </is>
      </c>
      <c r="C21" s="22" t="inlineStr">
        <is>
          <t>TESA doppelseitiges Klebeband 10 m × 12 mm</t>
        </is>
      </c>
      <c r="D21" s="22" t="inlineStr">
        <is>
          <t>1 Rolle</t>
        </is>
      </c>
      <c r="E21" s="26" t="inlineStr">
        <is>
          <t>neu</t>
        </is>
      </c>
      <c r="F21" s="23" t="n">
        <v>2.9</v>
      </c>
      <c r="G21" s="24" t="inlineStr">
        <is>
          <t>https://www.berrybase.de/tesa-doppelseitiges-klebeband-10m-x-12mm-transparent-pp-traeger-loesungsmittelfrei</t>
        </is>
      </c>
      <c r="H21" s="22" t="inlineStr">
        <is>
          <t>Berrybase. Module fixieren; nur 1 Stk. auf Lager (Alternative: Heißkleber)</t>
        </is>
      </c>
      <c r="I21" s="25" t="n">
        <v>2.9</v>
      </c>
    </row>
    <row r="22" ht="15" customHeight="1" s="17">
      <c r="A22" s="22" t="n">
        <v>18</v>
      </c>
      <c r="B22" s="22" t="inlineStr">
        <is>
          <t>Kabelbinder</t>
        </is>
      </c>
      <c r="C22" s="22" t="inlineStr">
        <is>
          <t>Kabelbinder UV-beständig 100 × 2,5 mm</t>
        </is>
      </c>
      <c r="D22" s="22" t="inlineStr">
        <is>
          <t>100 Stk.</t>
        </is>
      </c>
      <c r="E22" s="26" t="inlineStr">
        <is>
          <t>neu</t>
        </is>
      </c>
      <c r="F22" s="23" t="n">
        <v>0.6</v>
      </c>
      <c r="G22" s="24" t="inlineStr">
        <is>
          <t>https://www.berrybase.de/kabelbinder-uv-bestaendig-nylon-100-stueck/farbe-transparent/masse-100x2-5mm</t>
        </is>
      </c>
      <c r="H22" s="22" t="inlineStr">
        <is>
          <t>Berrybase. Kabel ordnen</t>
        </is>
      </c>
      <c r="I22" s="25" t="n">
        <v>0.6</v>
      </c>
    </row>
    <row r="23" ht="41.25" customHeight="1" s="17">
      <c r="A23" s="22" t="n">
        <v>19</v>
      </c>
      <c r="B23" s="22" t="inlineStr">
        <is>
          <t>JST-Kabel CYD</t>
        </is>
      </c>
      <c r="C23" s="22" t="inlineStr">
        <is>
          <t>Micro JST 1,25 mm Stecker + Buchse mit Kabel (4-polig wählen)</t>
        </is>
      </c>
      <c r="D23" s="22" t="inlineStr">
        <is>
          <t>Set</t>
        </is>
      </c>
      <c r="E23" s="27" t="inlineStr">
        <is>
          <t>nur AliExpress</t>
        </is>
      </c>
      <c r="F23" s="23" t="n">
        <v>1.49</v>
      </c>
      <c r="G23" s="24" t="inlineStr">
        <is>
          <t>https://de.aliexpress.com/item/4001171710583.html</t>
        </is>
      </c>
      <c r="H23" s="22" t="inlineStr">
        <is>
          <t>NUR ALIEXPRESS, ab-Preis laut Suchliste, 1–3 Wochen. Für CN1/P3/P1. Entfällt, wenn Kabel beim CYD dabei sind oder direkt angelötet wird</t>
        </is>
      </c>
      <c r="I23" t="inlineStr">
        <is>
          <t>nicht bestellt</t>
        </is>
      </c>
    </row>
    <row r="24" ht="41.25" customHeight="1" s="17">
      <c r="A24" s="22" t="n">
        <v>20</v>
      </c>
      <c r="B24" s="22" t="inlineStr">
        <is>
          <t>microSD-Sniffer</t>
        </is>
      </c>
      <c r="C24" s="22" t="inlineStr">
        <is>
          <t>Micro SD Sniffer TF-Adapterplatine</t>
        </is>
      </c>
      <c r="D24" s="22" t="inlineStr">
        <is>
          <t>1 Stk.</t>
        </is>
      </c>
      <c r="E24" s="27" t="inlineStr">
        <is>
          <t>gestrichen (passt nicht)</t>
        </is>
      </c>
      <c r="F24" s="23" t="n">
        <v>2.39</v>
      </c>
      <c r="G24" s="24" t="inlineStr">
        <is>
          <t>https://de.aliexpress.com/item/1005009886368149.html</t>
        </is>
      </c>
      <c r="H24" s="22" t="inlineStr">
        <is>
          <t>NICHT bestellt 16.10.2026: passt nicht ins Gehäuse (SD-Slot→Front, 3,5 mm). GPIO18/19/23 direkt löten. NUR ALIEXPRESS, ab-Preis laut Suchliste, 1–3 Wochen. Für GPIO 18/19/23 am SD-Slot; entfällt, wenn an die Lötpunkte gelötet wird</t>
        </is>
      </c>
      <c r="I24" t="inlineStr">
        <is>
          <t>nicht bestellt (passt nicht)</t>
        </is>
      </c>
    </row>
    <row r="25" ht="41.25" customHeight="1" s="17">
      <c r="A25" s="22" t="n">
        <v>21</v>
      </c>
      <c r="B25" s="22" t="inlineStr">
        <is>
          <t>Gehäuse-Material</t>
        </is>
      </c>
      <c r="C25" s="22" t="inlineStr">
        <is>
          <t>SUNLU PLA 1,75 mm, 1 kg</t>
        </is>
      </c>
      <c r="D25" s="22" t="inlineStr">
        <is>
          <t>1 kg</t>
        </is>
      </c>
      <c r="E25" s="26" t="inlineStr">
        <is>
          <t>Preis aktualisiert</t>
        </is>
      </c>
      <c r="F25" s="23" t="n">
        <v>14.99</v>
      </c>
      <c r="G25" s="24" t="inlineStr">
        <is>
          <t>https://www.amazon.de/dp/B0BTHSVQ89</t>
        </is>
      </c>
      <c r="H25" s="22" t="inlineStr">
        <is>
          <t>Amazon. Angebot 11,29 € abgelaufen. Ca. 128 g nötig (Unterschale ca. 80, Deckel 16, Pad 27, Kappe 1, Diffusor ca. 4, Klemmkeile unter 1); entfällt, wenn die Schule Filament stellt</t>
        </is>
      </c>
      <c r="I25" t="inlineStr">
        <is>
          <t>nicht bestellt (Schule)</t>
        </is>
      </c>
    </row>
    <row r="26" ht="27.75" customHeight="1" s="17">
      <c r="A26" s="22" t="n">
        <v>22</v>
      </c>
      <c r="B26" s="22" t="inlineStr">
        <is>
          <t>Abdeckkappe</t>
        </is>
      </c>
      <c r="C26" s="22" t="inlineStr">
        <is>
          <t>Steckbare Kappe für die CYD-USB-Öffnung (3D-Druck)</t>
        </is>
      </c>
      <c r="D26" s="22" t="inlineStr">
        <is>
          <t>1 Stk.</t>
        </is>
      </c>
      <c r="E26" s="26" t="inlineStr">
        <is>
          <t>neu</t>
        </is>
      </c>
      <c r="F26" s="23" t="n">
        <v>0</v>
      </c>
      <c r="G26" s="24" t="n"/>
      <c r="H26" s="22" t="inlineStr">
        <is>
          <t>Aus dem PLA von oben gedruckt (ca. 1 g), keine Extrakosten</t>
        </is>
      </c>
      <c r="I26" s="25" t="n">
        <v>0</v>
      </c>
    </row>
    <row r="27" ht="41.25" customHeight="1" s="17">
      <c r="A27" s="22" t="n">
        <v>23</v>
      </c>
      <c r="B27" s="22" t="inlineStr">
        <is>
          <t>Diffusor-Leiste</t>
        </is>
      </c>
      <c r="C27" s="22" t="inlineStr">
        <is>
          <t>Gedruckte Diffusor-Leiste vor dem LED-Streifen (3D-Druck, 166,7 × 16,7 × 1 mm)</t>
        </is>
      </c>
      <c r="D27" s="22" t="inlineStr">
        <is>
          <t>1 Stk.</t>
        </is>
      </c>
      <c r="E27" s="26" t="inlineStr">
        <is>
          <t>neu</t>
        </is>
      </c>
      <c r="F27" s="23" t="n">
        <v>0</v>
      </c>
      <c r="G27" s="24" t="n"/>
      <c r="H27" s="22" t="inlineStr">
        <is>
          <t>Aus weißem PLA oder naturfarbenem PETG gedruckt (ca. 4 g, 1 mm, 100 % Füllung, flach). Keine Extrakosten, wenn das PLA von Pos. 21 weiß ist oder die Schule weißes Filament stellt</t>
        </is>
      </c>
      <c r="I27" s="25" t="n">
        <v>0</v>
      </c>
    </row>
    <row r="28" ht="15" customHeight="1" s="17">
      <c r="A28" s="22" t="n">
        <v>24</v>
      </c>
      <c r="B28" s="22" t="inlineStr">
        <is>
          <t>Treiber-Transistor</t>
        </is>
      </c>
      <c r="C28" s="22" t="inlineStr">
        <is>
          <t>BC547B, NPN, 45 V, 100 mA, TO-92</t>
        </is>
      </c>
      <c r="D28" s="22" t="inlineStr">
        <is>
          <t>1 Stk.</t>
        </is>
      </c>
      <c r="E28" s="26" t="inlineStr">
        <is>
          <t>neu (V4)</t>
        </is>
      </c>
      <c r="F28" s="23" t="n">
        <v>0.17</v>
      </c>
      <c r="G28" s="24" t="inlineStr">
        <is>
          <t>https://www.berrybase.de/bc547b-bipolarer-transistor-npn-45v-100ma-to-92-3-pin</t>
        </is>
      </c>
      <c r="H28" s="22" t="inlineStr">
        <is>
          <t>Berrybase. Schaltet das Gate von Q1 (GPIO18 → 4,7 kΩ → Basis)</t>
        </is>
      </c>
      <c r="I28" s="25" t="n">
        <v>0.68</v>
      </c>
    </row>
    <row r="29" ht="15" customHeight="1" s="17">
      <c r="A29" s="22" t="n">
        <v>25</v>
      </c>
      <c r="B29" s="22" t="inlineStr">
        <is>
          <t>Widerstand 470 Ω</t>
        </is>
      </c>
      <c r="C29" s="22" t="inlineStr">
        <is>
          <t>Metallschichtwiderstand 470 Ω, 1/4 W, 1 %</t>
        </is>
      </c>
      <c r="D29" s="22" t="inlineStr">
        <is>
          <t>1 Stk.</t>
        </is>
      </c>
      <c r="E29" s="26" t="inlineStr">
        <is>
          <t>neu (V4)</t>
        </is>
      </c>
      <c r="F29" s="23" t="n">
        <v>0.05</v>
      </c>
      <c r="G29" s="24" t="inlineStr">
        <is>
          <t>https://www.berrybase.de/metallschichtwiderstand-470-0-ohm-1-4w-1-0207-axial-durchsteckmontage</t>
        </is>
      </c>
      <c r="H29" s="22" t="inlineStr">
        <is>
          <t>Berrybase. In die Datenleitung DIN direkt am LED-Streifen</t>
        </is>
      </c>
      <c r="I29" s="25" t="n">
        <v>0.25</v>
      </c>
    </row>
    <row r="30" ht="15" customHeight="1" s="17">
      <c r="A30" s="22" t="n">
        <v>26</v>
      </c>
      <c r="B30" s="22" t="inlineStr">
        <is>
          <t>Widerstand 4,7 kΩ</t>
        </is>
      </c>
      <c r="C30" s="22" t="inlineStr">
        <is>
          <t>Metallschichtwiderstand 4,7 kΩ, 1/4 W, 1 %</t>
        </is>
      </c>
      <c r="D30" s="22" t="inlineStr">
        <is>
          <t>1 Stk.</t>
        </is>
      </c>
      <c r="E30" s="26" t="inlineStr">
        <is>
          <t>neu (V4)</t>
        </is>
      </c>
      <c r="F30" s="23" t="n">
        <v>0.06</v>
      </c>
      <c r="G30" s="24" t="inlineStr">
        <is>
          <t>https://www.berrybase.de/metallschichtwiderstand-4-7-kohm-1-4w-1-0207-axial-durchsteckmontage</t>
        </is>
      </c>
      <c r="H30" s="22" t="inlineStr">
        <is>
          <t>Berrybase. GPIO18 → Basis BC547B</t>
        </is>
      </c>
      <c r="I30" s="25" t="n">
        <v>0.3</v>
      </c>
    </row>
    <row r="31" ht="27.75" customHeight="1" s="17">
      <c r="A31" s="22" t="n">
        <v>27</v>
      </c>
      <c r="B31" s="22" t="inlineStr">
        <is>
          <t>Widerstand 47 kΩ</t>
        </is>
      </c>
      <c r="C31" s="22" t="inlineStr">
        <is>
          <t>Metallschichtwiderstand 47 kΩ, 1/4 W, 1 %</t>
        </is>
      </c>
      <c r="D31" s="22" t="inlineStr">
        <is>
          <t>2 Stk.</t>
        </is>
      </c>
      <c r="E31" s="26" t="inlineStr">
        <is>
          <t>neu (V4)</t>
        </is>
      </c>
      <c r="F31" s="23" t="n">
        <v>0.1</v>
      </c>
      <c r="G31" s="24" t="inlineStr">
        <is>
          <t>https://www.berrybase.de/metallschichtwiderstand-47-0-kohm-1-4w-1-0207-axial-durchsteckmontage</t>
        </is>
      </c>
      <c r="H31" s="22" t="inlineStr">
        <is>
          <t>Berrybase. 2 × 0,05 €: Basis→GND (BC547B) und Gate→Source Q2 (Akku-Schalter)</t>
        </is>
      </c>
      <c r="I31" s="25" t="n">
        <v>0.2</v>
      </c>
    </row>
    <row r="32" ht="27.75" customHeight="1" s="17">
      <c r="A32" s="22" t="n">
        <v>28</v>
      </c>
      <c r="B32" s="22" t="inlineStr">
        <is>
          <t>Widerstand 10 kΩ</t>
        </is>
      </c>
      <c r="C32" s="22" t="inlineStr">
        <is>
          <t>Metallschichtwiderstand 10 kΩ, 1/4 W, 1 %</t>
        </is>
      </c>
      <c r="D32" s="22" t="inlineStr">
        <is>
          <t>1 Stk.</t>
        </is>
      </c>
      <c r="E32" s="26" t="inlineStr">
        <is>
          <t>neu (V4)</t>
        </is>
      </c>
      <c r="F32" s="23" t="n">
        <v>0.05</v>
      </c>
      <c r="G32" s="24" t="inlineStr">
        <is>
          <t>https://www.berrybase.de/metallschichtwiderstand-10-0-kohm-1-4w-1-0207-axial-durchsteckmontage</t>
        </is>
      </c>
      <c r="H32" s="22" t="inlineStr">
        <is>
          <t>Berrybase. Gate→Source Q1 (LED-Strom standardmäßig aus); zusätzlich zu den 2 Stk. aus Pos. 14</t>
        </is>
      </c>
      <c r="I32" t="inlineStr">
        <is>
          <t>in Pos. 14 enthalten</t>
        </is>
      </c>
    </row>
    <row r="33" ht="27.75" customHeight="1" s="17">
      <c r="A33" s="22" t="n">
        <v>29</v>
      </c>
      <c r="B33" s="22" t="inlineStr">
        <is>
          <t>SOT-23-Adapter</t>
        </is>
      </c>
      <c r="C33" s="22" t="inlineStr">
        <is>
          <t>SMD-Breakout-Adapter SOT23 / SSOP10 / MSOP10, 10 Pin</t>
        </is>
      </c>
      <c r="D33" s="22" t="inlineStr">
        <is>
          <t>2 Stk.</t>
        </is>
      </c>
      <c r="E33" s="26" t="inlineStr">
        <is>
          <t>neu (V4)</t>
        </is>
      </c>
      <c r="F33" s="23" t="n">
        <v>0.64</v>
      </c>
      <c r="G33" s="24" t="inlineStr">
        <is>
          <t>https://www.berrybase.de/smd-breakout-adapter-fuer-sot23-ssop10-msop10-10-pin-0-50mm-0-95mm</t>
        </is>
      </c>
      <c r="H33" s="22" t="inlineStr">
        <is>
          <t>Berrybase. 2 × 0,32 €; je ein AO3401A darauf löten (SOT-23 ist zu klein für Lochraster). Stiftleiste: Pos. 34</t>
        </is>
      </c>
      <c r="I33" s="25" t="n">
        <v>1.28</v>
      </c>
    </row>
    <row r="34" ht="27.75" customHeight="1" s="17">
      <c r="A34" s="22" t="n">
        <v>30</v>
      </c>
      <c r="B34" s="22" t="inlineStr">
        <is>
          <t>Elko</t>
        </is>
      </c>
      <c r="C34" s="22" t="inlineStr">
        <is>
          <t>Elektrolytkondensator 470 µF, 25 V, 105 °C, radial (Ø 10 × 16 mm)</t>
        </is>
      </c>
      <c r="D34" s="22" t="inlineStr">
        <is>
          <t>1 Stk.</t>
        </is>
      </c>
      <c r="E34" s="26" t="inlineStr">
        <is>
          <t>neu (V4)</t>
        </is>
      </c>
      <c r="F34" s="23" t="n">
        <v>0.1</v>
      </c>
      <c r="G34" s="24" t="inlineStr">
        <is>
          <t>https://www.berrybase.de/elektrolytkondensator-470-f-25v-1050c-1-radial-tht</t>
        </is>
      </c>
      <c r="H34" s="22" t="inlineStr">
        <is>
          <t>Berrybase. 5 V → GND vor Q1 (fängt Lastsprünge des Streifens ab); liegt auf der FET-Platine</t>
        </is>
      </c>
      <c r="I34" s="25" t="n">
        <v>0.3</v>
      </c>
    </row>
    <row r="35" ht="27.75" customHeight="1" s="17">
      <c r="A35" s="22" t="n">
        <v>31</v>
      </c>
      <c r="B35" s="22" t="inlineStr">
        <is>
          <t>Lochrasterplatine</t>
        </is>
      </c>
      <c r="C35" s="22" t="inlineStr">
        <is>
          <t>Lochrasterplatine 9 × 15 cm, einseitig Kupfer</t>
        </is>
      </c>
      <c r="D35" s="22" t="inlineStr">
        <is>
          <t>1 Stk.</t>
        </is>
      </c>
      <c r="E35" s="26" t="inlineStr">
        <is>
          <t>neu (V4)</t>
        </is>
      </c>
      <c r="F35" s="23" t="n">
        <v>1.1</v>
      </c>
      <c r="G35" s="24" t="inlineStr">
        <is>
          <t>https://www.berrybase.de/lochrasterplatine-9x15cm-mit-einseitiger-kupferauflage</t>
        </is>
      </c>
      <c r="H35" s="22" t="inlineStr">
        <is>
          <t>Berrybase. Auf 30 × 24,5 mm zuschneiden (FET-Platine). Achtung: Titel „9 × 15 cm“, laut technischen Daten aber 70,5 × 50,4 × 1 mm – reicht in beiden Fällen. 5 × 7 cm (0,30 €) ist aktuell nicht lieferbar</t>
        </is>
      </c>
      <c r="I35" s="25" t="n">
        <v>3.3</v>
      </c>
    </row>
    <row r="36" ht="41.25" customHeight="1" s="17">
      <c r="A36" s="22" t="n">
        <v>32</v>
      </c>
      <c r="B36" s="22" t="inlineStr">
        <is>
          <t>Ein/Aus-Schalter</t>
        </is>
      </c>
      <c r="C36" s="22" t="inlineStr">
        <is>
          <t>Schiebeschalter C&amp;K OS102011MS2QN1, 1× Um (ON-ON), 8,6 × 4,3 × 4 mm, Printmontage</t>
        </is>
      </c>
      <c r="D36" s="22" t="inlineStr">
        <is>
          <t>1 Stk.</t>
        </is>
      </c>
      <c r="E36" s="26" t="inlineStr">
        <is>
          <t>neu (V4)</t>
        </is>
      </c>
      <c r="F36" s="23" t="n">
        <v>0.7</v>
      </c>
      <c r="G36" s="24" t="inlineStr">
        <is>
          <t>https://www.berrybase.de/schiebeschalter-printmontage-on-on-2-stellig-8.6x4.3x4mm-gerade</t>
        </is>
      </c>
      <c r="H36" s="22" t="inlineStr">
        <is>
          <t>Berrybase. Schaltet nur das Gate von Q2 (ca. 0,08 mA; Schalter verträgt 0,1 A) → Akku wirklich aus. Sitzt in der linken Wand, Schieber oben = AN</t>
        </is>
      </c>
      <c r="I36" s="25" t="n">
        <v>1.4</v>
      </c>
    </row>
    <row r="37" ht="27.75" customHeight="1" s="17">
      <c r="A37" s="22" t="n">
        <v>33</v>
      </c>
      <c r="B37" s="22" t="inlineStr">
        <is>
          <t>Klemmkeile Schalter</t>
        </is>
      </c>
      <c r="C37" s="22" t="inlineStr">
        <is>
          <t>2 gedruckte Klemmkeile für den Ein/Aus-Schalter (3D-Druck)</t>
        </is>
      </c>
      <c r="D37" s="22" t="inlineStr">
        <is>
          <t>2 Stk.</t>
        </is>
      </c>
      <c r="E37" s="26" t="inlineStr">
        <is>
          <t>neu (V4)</t>
        </is>
      </c>
      <c r="F37" s="23" t="n">
        <v>0</v>
      </c>
      <c r="G37" s="24" t="n"/>
      <c r="H37" s="22" t="inlineStr">
        <is>
          <t>Aus dem PLA von Pos. 21 gedruckt (unter 1 g), keine Extrakosten</t>
        </is>
      </c>
      <c r="I37" s="25" t="n">
        <v>0</v>
      </c>
    </row>
    <row r="38" ht="41.25" customHeight="1" s="17">
      <c r="A38" s="22" t="n">
        <v>34</v>
      </c>
      <c r="B38" s="22" t="inlineStr">
        <is>
          <t>Stiftleiste</t>
        </is>
      </c>
      <c r="C38" s="22" t="inlineStr">
        <is>
          <t>Stiftleiste 1× 20-polig, RM 2,54 mm, gerade</t>
        </is>
      </c>
      <c r="D38" s="22" t="inlineStr">
        <is>
          <t>1 Stk.</t>
        </is>
      </c>
      <c r="E38" s="26" t="inlineStr">
        <is>
          <t>neu (V4)</t>
        </is>
      </c>
      <c r="F38" s="23" t="n">
        <v>0.2</v>
      </c>
      <c r="G38" s="24" t="inlineStr">
        <is>
          <t>https://www.berrybase.de/stiftleiste-1x-20-polig-rm-2-54-gerade</t>
        </is>
      </c>
      <c r="H38" s="22" t="inlineStr">
        <is>
          <t>Berrybase. Für die 2 SOT-23-Adapter (Pos. 29), die ohne Stiftleiste geliefert werden; je Adapter 3–5 Stifte abbrechen</t>
        </is>
      </c>
      <c r="I38" s="25" t="n">
        <v>0.4</v>
      </c>
    </row>
    <row r="39" ht="15" customHeight="1" s="17">
      <c r="B39" s="28" t="inlineStr">
        <is>
          <t>Summe Bauteile</t>
        </is>
      </c>
      <c r="F39" s="29">
        <f>SUM(F5:F38)</f>
        <v/>
      </c>
    </row>
    <row r="40" ht="15" customHeight="1" s="17"/>
    <row r="41" ht="15" customHeight="1" s="17">
      <c r="B41" s="28" t="inlineStr">
        <is>
          <t>Versand</t>
        </is>
      </c>
    </row>
    <row r="42" ht="27.75" customHeight="1" s="17">
      <c r="B42" s="30" t="inlineStr">
        <is>
          <t>Versand Amazon</t>
        </is>
      </c>
      <c r="F42" s="31">
        <f>IF(F5+F6+F7+F10+F11+F14+F25&gt;=49,0,3.99)</f>
        <v/>
      </c>
      <c r="H42" s="22" t="inlineStr">
        <is>
          <t>Frei ab 49 € (nur Artikel mit „Versand durch Amazon“), sonst 3,99 € – im Warenkorb prüfen</t>
        </is>
      </c>
    </row>
    <row r="43" ht="15" customHeight="1" s="17">
      <c r="B43" s="30" t="inlineStr">
        <is>
          <t>Versand Berrybase</t>
        </is>
      </c>
      <c r="F43" s="31">
        <f>IF(F8+F12+F13+F18+F19+F20+F21+F22+F28+F29+F30+F31+F32+F33+F34+F35+F36+F38&gt;=150,0,4.95)</f>
        <v/>
      </c>
      <c r="H43" s="22" t="inlineStr">
        <is>
          <t>DHL 4,95 €, frei ab 150 €</t>
        </is>
      </c>
    </row>
    <row r="44" ht="27.75" customHeight="1" s="17">
      <c r="B44" s="30" t="inlineStr">
        <is>
          <t>Versand Reichelt</t>
        </is>
      </c>
      <c r="F44" s="31">
        <f>IF(F9&gt;0,5.95,0)</f>
        <v/>
      </c>
      <c r="H44" s="22" t="inlineStr">
        <is>
          <t>Reichelt: Versandkosten ab 5,95 € (Produktseite AO3401A, 09.10.2026); nur für Pos. 5</t>
        </is>
      </c>
    </row>
    <row r="45" ht="27.75" customHeight="1" s="17">
      <c r="B45" s="30" t="inlineStr">
        <is>
          <t>Versand alleschrauben.de</t>
        </is>
      </c>
      <c r="F45" s="31" t="n"/>
      <c r="H45" s="22" t="inlineStr">
        <is>
          <t>Nicht lesbar – wird erst im Warenkorb angezeigt (frei ab 79 €), im Warenkorb prüfen</t>
        </is>
      </c>
    </row>
    <row r="46" ht="27.75" customHeight="1" s="17">
      <c r="B46" s="30" t="inlineStr">
        <is>
          <t>Versand AliExpress (Pos. 19/20)</t>
        </is>
      </c>
      <c r="F46" s="31" t="n"/>
      <c r="H46" s="22" t="inlineStr">
        <is>
          <t>Nicht lesbar – im Warenkorb prüfen (Choice-Artikel meist frei ab 10 €)</t>
        </is>
      </c>
    </row>
    <row r="47" ht="15" customHeight="1" s="17">
      <c r="B47" s="28" t="inlineStr">
        <is>
          <t>Summe Versand (bekannt)</t>
        </is>
      </c>
      <c r="F47" s="29">
        <f>SUM(F42:F46)</f>
        <v/>
      </c>
    </row>
    <row r="48" ht="15" customHeight="1" s="17"/>
    <row r="49" ht="15" customHeight="1" s="17">
      <c r="B49" s="30" t="inlineStr">
        <is>
          <t>Puffer 10 % (Verschnitt, Ersatz, unbekannter Versand)</t>
        </is>
      </c>
      <c r="F49" s="31">
        <f>ROUND(F39*0.1,2)</f>
        <v/>
      </c>
    </row>
    <row r="50" ht="15" customHeight="1" s="17">
      <c r="B50" s="32" t="inlineStr">
        <is>
          <t>Gesamt geplant</t>
        </is>
      </c>
      <c r="F50" s="33">
        <f>F39+F47+F49</f>
        <v/>
      </c>
    </row>
    <row r="51" ht="27.75" customHeight="1" s="17">
      <c r="B51" s="30" t="inlineStr">
        <is>
          <t>Gesamt ohne PLA (falls die Schule druckt)</t>
        </is>
      </c>
      <c r="F51" s="31">
        <f>F50-F25-ROUND(F25*0.1,2)</f>
        <v/>
      </c>
      <c r="H51" s="22" t="inlineStr">
        <is>
          <t>Amazon bleibt auch ohne PLA über 49 € → Versand unverändert</t>
        </is>
      </c>
    </row>
    <row r="52" ht="15" customHeight="1" s="17"/>
    <row r="53" ht="15" customHeight="1" s="17">
      <c r="B53" s="28" t="inlineStr">
        <is>
          <t>Optional (nicht in der Summe)</t>
        </is>
      </c>
    </row>
    <row r="54" ht="27.75" customHeight="1" s="17">
      <c r="A54" s="22" t="n"/>
      <c r="B54" s="22" t="inlineStr">
        <is>
          <t>Kabel (Test)</t>
        </is>
      </c>
      <c r="C54" s="22" t="inlineStr">
        <is>
          <t>Elegoo Jumperkabel-Set</t>
        </is>
      </c>
      <c r="D54" s="22" t="inlineStr">
        <is>
          <t>1 Set</t>
        </is>
      </c>
      <c r="E54" s="22" t="inlineStr">
        <is>
          <t>optional</t>
        </is>
      </c>
      <c r="F54" s="23" t="n">
        <v>6.99</v>
      </c>
      <c r="G54" s="24" t="inlineStr">
        <is>
          <t>https://www.amazon.de/dp/B01EV70C78</t>
        </is>
      </c>
      <c r="H54" s="22" t="inlineStr">
        <is>
          <t>Amazon. Nur für einen Breadboard-Testaufbau; im fertigen Gerät wird mit Litze gelötet</t>
        </is>
      </c>
    </row>
    <row r="55" ht="41.25" customHeight="1" s="17">
      <c r="A55" s="22" t="n"/>
      <c r="B55" s="22" t="inlineStr">
        <is>
          <t>Akku-Verlängerung</t>
        </is>
      </c>
      <c r="C55" s="22" t="inlineStr">
        <is>
          <t>Verlängerungskabel 2-polig JST-PH 2.0, Stecker/Buchse, 50 cm</t>
        </is>
      </c>
      <c r="D55" s="22" t="inlineStr">
        <is>
          <t>1 Stk.</t>
        </is>
      </c>
      <c r="E55" s="22" t="inlineStr">
        <is>
          <t>optional</t>
        </is>
      </c>
      <c r="F55" s="23" t="n">
        <v>0.9</v>
      </c>
      <c r="G55" s="24" t="inlineStr">
        <is>
          <t>https://www.berrybase.de/verlaengerungskabel-2-pin-jst-ph-2.0mm-stecker-buchse-awg24-50cm</t>
        </is>
      </c>
      <c r="H55" s="22" t="inlineStr">
        <is>
          <t>Berrybase. Damit der Akku-Stecker nicht abgeschnitten werden muss</t>
        </is>
      </c>
    </row>
    <row r="56"/>
    <row r="57"/>
    <row r="58"/>
    <row r="59"/>
    <row r="61">
      <c r="B61" s="34" t="inlineStr">
        <is>
          <t>Tatsächlich gezahlt (16.10.2026)</t>
        </is>
      </c>
      <c r="F61" s="35" t="n">
        <v>122.13</v>
      </c>
      <c r="H61" t="inlineStr">
        <is>
          <t>Amazon 69,52 + Berrybase 35,46 + alleschrauben 10,35 + Reichelt 6,80 = 122,13 €</t>
        </is>
      </c>
    </row>
    <row r="62">
      <c r="B62" t="inlineStr">
        <is>
          <t>davon Versand</t>
        </is>
      </c>
      <c r="F62" s="36" t="n">
        <v>16.39</v>
      </c>
      <c r="H62" t="inlineStr">
        <is>
          <t>Berrybase 4,95 + alleschrauben 5,49 + Reichelt 5,95 (Amazon frei)</t>
        </is>
      </c>
    </row>
    <row r="63">
      <c r="B63" t="inlineStr">
        <is>
          <t>Belege</t>
        </is>
      </c>
      <c r="F63" t="n">
        <v>4</v>
      </c>
      <c r="H63" t="inlineStr">
        <is>
          <t>Für Überweisungsantrag LUSINI</t>
        </is>
      </c>
    </row>
  </sheetData>
  <hyperlinks>
    <hyperlink xmlns:r="http://schemas.openxmlformats.org/officeDocument/2006/relationships" ref="G5" display="https://www.amazon.de/dp/B0G1N16Q16" r:id="rId1"/>
    <hyperlink xmlns:r="http://schemas.openxmlformats.org/officeDocument/2006/relationships" ref="G6" display="https://www.amazon.de/dp/B0B9H3YMT2" r:id="rId2"/>
    <hyperlink xmlns:r="http://schemas.openxmlformats.org/officeDocument/2006/relationships" ref="G7" display="https://www.amazon.de/dp/B0H41MCVSW" r:id="rId3"/>
    <hyperlink xmlns:r="http://schemas.openxmlformats.org/officeDocument/2006/relationships" ref="G8" display="https://www.berrybase.de/regensensor-mit-digitalem-und-analogem-ausgang" r:id="rId4"/>
    <hyperlink xmlns:r="http://schemas.openxmlformats.org/officeDocument/2006/relationships" ref="G9" display="https://www.reichelt.de/de/de/shop/produkt/mosfet_p-ch_-30v_-4a_0_041r_sot-23-166486" r:id="rId5"/>
    <hyperlink xmlns:r="http://schemas.openxmlformats.org/officeDocument/2006/relationships" ref="G10" display="https://www.amazon.de/dp/B08214DJLJ" r:id="rId6"/>
    <hyperlink xmlns:r="http://schemas.openxmlformats.org/officeDocument/2006/relationships" ref="G11" display="https://www.amazon.de/dp/B0F67KYB4F" r:id="rId7"/>
    <hyperlink xmlns:r="http://schemas.openxmlformats.org/officeDocument/2006/relationships" ref="G12" display="https://www.berrybase.de/pololu-s13v10f5-5v-1a-step-up-step-down-converter" r:id="rId8"/>
    <hyperlink xmlns:r="http://schemas.openxmlformats.org/officeDocument/2006/relationships" ref="G13" display="https://www.berrybase.de/fix-fasten-selbstklebender-fuss-rund-oben-9-5mm-unten-10mm-hoehe-4-5mm-gummi-schwarz" r:id="rId9"/>
    <hyperlink xmlns:r="http://schemas.openxmlformats.org/officeDocument/2006/relationships" ref="G14" display="https://www.amazon.de/dp/B0GVNMS4DZ" r:id="rId10"/>
    <hyperlink xmlns:r="http://schemas.openxmlformats.org/officeDocument/2006/relationships" ref="G15" display="https://alleschrauben.de/Schrauben/Senkkopf/Senkkopfschrauben-DIN-7991/Senkkopfschrauben-M3x12-mit-Innensechskant-DIN-7991-Edelstahl-A2" r:id="rId11"/>
    <hyperlink xmlns:r="http://schemas.openxmlformats.org/officeDocument/2006/relationships" ref="G16" display="https://alleschrauben.de/Schrauben/Senkkopf/Senkkopfschrauben-DIN-7991/Senkkopfschrauben-M4x10-mit-Innensechskant-DIN-7991-Edelstahl-A2" r:id="rId12"/>
    <hyperlink xmlns:r="http://schemas.openxmlformats.org/officeDocument/2006/relationships" ref="G17" display="https://alleschrauben.de/Schrauben/Senkkopf/Senkkopfschrauben-DIN-7991/Senkkopfschrauben-M5x12-mit-Innensechskant-DIN-7991-Edelstahl-A2" r:id="rId13"/>
    <hyperlink xmlns:r="http://schemas.openxmlformats.org/officeDocument/2006/relationships" ref="G18" display="https://www.berrybase.de/metallschichtwiderstand-10-0-kohm-1-4w-1-0207-axial-durchsteckmontage" r:id="rId14"/>
    <hyperlink xmlns:r="http://schemas.openxmlformats.org/officeDocument/2006/relationships" ref="G19" display="https://www.berrybase.de/vierlingslitze-isoliert-4x0-14mm-5m-farbe-blau-gelb-rot-gruen" r:id="rId15"/>
    <hyperlink xmlns:r="http://schemas.openxmlformats.org/officeDocument/2006/relationships" ref="G20" display="https://www.berrybase.de/schrumpfschlauch-set-100-teilig-in-sortimentsbox-schwarz" r:id="rId16"/>
    <hyperlink xmlns:r="http://schemas.openxmlformats.org/officeDocument/2006/relationships" ref="G21" display="https://www.berrybase.de/tesa-doppelseitiges-klebeband-10m-x-12mm-transparent-pp-traeger-loesungsmittelfrei" r:id="rId17"/>
    <hyperlink xmlns:r="http://schemas.openxmlformats.org/officeDocument/2006/relationships" ref="G22" display="https://www.berrybase.de/kabelbinder-uv-bestaendig-nylon-100-stueck/farbe-transparent/masse-100x2-5mm" r:id="rId18"/>
    <hyperlink xmlns:r="http://schemas.openxmlformats.org/officeDocument/2006/relationships" ref="G23" display="https://de.aliexpress.com/item/4001171710583.html" r:id="rId19"/>
    <hyperlink xmlns:r="http://schemas.openxmlformats.org/officeDocument/2006/relationships" ref="G24" display="https://de.aliexpress.com/item/1005009886368149.html" r:id="rId20"/>
    <hyperlink xmlns:r="http://schemas.openxmlformats.org/officeDocument/2006/relationships" ref="G25" display="https://www.amazon.de/dp/B0BTHSVQ89" r:id="rId21"/>
    <hyperlink xmlns:r="http://schemas.openxmlformats.org/officeDocument/2006/relationships" ref="G28" display="https://www.berrybase.de/bc547b-bipolarer-transistor-npn-45v-100ma-to-92-3-pin" r:id="rId22"/>
    <hyperlink xmlns:r="http://schemas.openxmlformats.org/officeDocument/2006/relationships" ref="G29" display="https://www.berrybase.de/metallschichtwiderstand-470-0-ohm-1-4w-1-0207-axial-durchsteckmontage" r:id="rId23"/>
    <hyperlink xmlns:r="http://schemas.openxmlformats.org/officeDocument/2006/relationships" ref="G30" display="https://www.berrybase.de/metallschichtwiderstand-4-7-kohm-1-4w-1-0207-axial-durchsteckmontage" r:id="rId24"/>
    <hyperlink xmlns:r="http://schemas.openxmlformats.org/officeDocument/2006/relationships" ref="G31" display="https://www.berrybase.de/metallschichtwiderstand-47-0-kohm-1-4w-1-0207-axial-durchsteckmontage" r:id="rId25"/>
    <hyperlink xmlns:r="http://schemas.openxmlformats.org/officeDocument/2006/relationships" ref="G32" display="https://www.berrybase.de/metallschichtwiderstand-10-0-kohm-1-4w-1-0207-axial-durchsteckmontage" r:id="rId26"/>
    <hyperlink xmlns:r="http://schemas.openxmlformats.org/officeDocument/2006/relationships" ref="G33" display="https://www.berrybase.de/smd-breakout-adapter-fuer-sot23-ssop10-msop10-10-pin-0-50mm-0-95mm" r:id="rId27"/>
    <hyperlink xmlns:r="http://schemas.openxmlformats.org/officeDocument/2006/relationships" ref="G34" display="https://www.berrybase.de/elektrolytkondensator-470-f-25v-1050c-1-radial-tht" r:id="rId28"/>
    <hyperlink xmlns:r="http://schemas.openxmlformats.org/officeDocument/2006/relationships" ref="G35" display="https://www.berrybase.de/lochrasterplatine-9x15cm-mit-einseitiger-kupferauflage" r:id="rId29"/>
    <hyperlink xmlns:r="http://schemas.openxmlformats.org/officeDocument/2006/relationships" ref="G36" display="https://www.berrybase.de/schiebeschalter-printmontage-on-on-2-stellig-8.6x4.3x4mm-gerade" r:id="rId30"/>
    <hyperlink xmlns:r="http://schemas.openxmlformats.org/officeDocument/2006/relationships" ref="G38" display="https://www.berrybase.de/stiftleiste-1x-20-polig-rm-2-54-gerade" r:id="rId3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55" customWidth="1" style="16" min="1" max="1"/>
    <col width="50" customWidth="1" style="16" min="2" max="2"/>
  </cols>
  <sheetData>
    <row r="1" ht="15" customHeight="1" s="17">
      <c r="A1" s="28" t="inlineStr">
        <is>
          <t>Gestrichenes Teil</t>
        </is>
      </c>
      <c r="B1" s="28" t="inlineStr">
        <is>
          <t>Grund</t>
        </is>
      </c>
    </row>
    <row r="2" ht="15" customHeight="1" s="17">
      <c r="A2" s="16" t="inlineStr">
        <is>
          <t>AZDelivery ESP32 DevKit 3er-Pack (B074RGW2VQ), 21,99 €</t>
        </is>
      </c>
      <c r="B2" s="16" t="inlineStr">
        <is>
          <t>ESP32 ist jetzt im Display-Board eingebaut</t>
        </is>
      </c>
    </row>
    <row r="3" ht="15" customHeight="1" s="17">
      <c r="A3" s="16" t="inlineStr">
        <is>
          <t>Fasizi 2,8" ILI9341 Touch-Display (B09Z29CGY1), 10,99 €</t>
        </is>
      </c>
      <c r="B3" s="16" t="inlineStr">
        <is>
          <t>Ersetzt durch Fastsaw ESP32-Display-Board</t>
        </is>
      </c>
    </row>
    <row r="4" ht="15" customHeight="1" s="17">
      <c r="A4" s="16" t="inlineStr">
        <is>
          <t>Rundes GC9A01-Display (B0DB5MR27T)</t>
        </is>
      </c>
      <c r="B4" s="16" t="inlineStr">
        <is>
          <t>Rechteckiges Design</t>
        </is>
      </c>
    </row>
    <row r="5" ht="15" customHeight="1" s="17">
      <c r="A5" s="16" t="inlineStr">
        <is>
          <t>WS2812 LED-Ring (B0GYF2PHV1)</t>
        </is>
      </c>
      <c r="B5" s="16" t="inlineStr">
        <is>
          <t>Ersetzt durch LED-Leiste an der Vorderkante</t>
        </is>
      </c>
    </row>
    <row r="6" ht="15" customHeight="1" s="17">
      <c r="A6" s="16" t="inlineStr">
        <is>
          <t>Blumtal Trinkflasche (B09FDZX7LC)</t>
        </is>
      </c>
      <c r="B6" s="16" t="inlineStr">
        <is>
          <t>Keine eigene Flasche mehr, jede Flasche passt</t>
        </is>
      </c>
    </row>
    <row r="7" ht="15" customHeight="1" s="17">
      <c r="A7" s="16" t="inlineStr">
        <is>
          <t>O-Ringe (B0DC69DWRT)</t>
        </is>
      </c>
      <c r="B7" s="16" t="inlineStr">
        <is>
          <t>Waren für die Flaschen-Abdichtung, nicht mehr nötig</t>
        </is>
      </c>
    </row>
    <row r="8" ht="15" customHeight="1" s="17">
      <c r="A8" s="16" t="inlineStr">
        <is>
          <t>Aihasd Regensensor LM393 2er-Pack (B017M1NJR0), 5,99 €</t>
        </is>
      </c>
      <c r="B8" s="16" t="inlineStr">
        <is>
          <t>Ersetzt durch gleichwertigen Regensensor von Berrybase (1,80 €)</t>
        </is>
      </c>
    </row>
    <row r="9" ht="15" customHeight="1" s="17">
      <c r="A9" s="16" t="inlineStr">
        <is>
          <t>InLine Gummipuffer 12 mm, 20 Stk. (B09LDCTQGY), 5,45 €</t>
        </is>
      </c>
      <c r="B9" s="16" t="inlineStr">
        <is>
          <t>Ersetzt durch Berrybase FIX&amp;FASTEN Ø10 mm, 4 Stk. (0,60 €); nur 4 Stück nötig</t>
        </is>
      </c>
    </row>
    <row r="10" ht="15" customHeight="1" s="17">
      <c r="A10" s="16" t="inlineStr">
        <is>
          <t>MT3608 Step-up-Wandler (z. B. AZDelivery B07YWKN9NW)</t>
        </is>
      </c>
      <c r="B10" s="16" t="inlineStr">
        <is>
          <t>Nicht genommen: Spannung per Poti, bei 3,7 → 5 V laut Rezensionen nur ca. 0,5 A; Angebot derzeit nicht verfügbar → Pololu S13V10F5</t>
        </is>
      </c>
    </row>
    <row r="11" ht="15" customHeight="1" s="17">
      <c r="A11" s="16" t="inlineStr">
        <is>
          <t>BTF-LIGHTING WS2812 ECO LED-Streifen 1 m, 60 LED/m, 10 mm (B088BRY2SH), 9,49 €</t>
        </is>
      </c>
      <c r="B11" s="16" t="inlineStr">
        <is>
          <t>Ersetzt durch COB-Streifen BTF-LIGHTING WS2812B FCOB (B0H41MCVSW): einzelne LEDs als Punkte sichtbar und 10 mm breit; der COB-Streifen ist 5 mm schmal und gibt hinter der Diffusor-Leiste eine gleichmäßige Lichtlinie (26 statt 10 LEDs)</t>
        </is>
      </c>
    </row>
    <row r="12" ht="15" customHeight="1" s="17">
      <c r="A12" s="16" t="inlineStr">
        <is>
          <t>GERUI FET-Schaltmodul DC 5–36 V, 8er-Pack (B0DG8B58PM), 6,49 €</t>
        </is>
      </c>
      <c r="B12" s="16" t="inlineStr">
        <is>
          <t>Ersetzt am 09.10.2026 (V4, Stromsparplan H1): schaltet nur Low-Side (GND) und ist mit 3,3 V am Gate unsicher. Jetzt P-MOSFET AO3401A (High-Side, Reichelt) mit Treiber BC547B; ein zweiter AO3401A schaltet mit dem Ein/Aus-Schalter den Akku (H2)</t>
        </is>
      </c>
    </row>
    <row r="13">
      <c r="A13" t="inlineStr">
        <is>
          <t>microSD-Sniffer / TF-Adapter</t>
        </is>
      </c>
      <c r="B13" t="inlineStr">
        <is>
          <t>Passt nicht ins Gehäuse (SD-Slot zeigt zur Front, nur 3,5 mm Luft; Sniffer ~35–40 mm). 16.10.2026 nicht bestellt; GPIO18/19/23 direkt an SD-Slot löten.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2026-10-06T09:55:13Z</dcterms:created>
  <dcterms:modified xmlns:dcterms="http://purl.org/dc/terms/" xmlns:xsi="http://www.w3.org/2001/XMLSchema-instance" xsi:type="dcterms:W3CDTF">2026-10-16T09:30:04Z</dcterms:modified>
  <cp:revision>0</cp:revision>
</cp:coreProperties>
</file>