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ileliste" sheetId="1" state="visible" r:id="rId3"/>
    <sheet name="Preisvergleich" sheetId="2" state="visible" r:id="rId4"/>
    <sheet name="Empfehlu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<sst xmlns="http://schemas.openxmlformats.org/spreadsheetml/2006/main" count="1048" uniqueCount="415">
  <si>
    <t xml:space="preserve">Pos</t>
  </si>
  <si>
    <t xml:space="preserve">Bauteil</t>
  </si>
  <si>
    <t xml:space="preserve">benötigte Menge</t>
  </si>
  <si>
    <t xml:space="preserve">Einheit</t>
  </si>
  <si>
    <t xml:space="preserve">Spezifikation</t>
  </si>
  <si>
    <t xml:space="preserve">Pflicht/Optional</t>
  </si>
  <si>
    <t xml:space="preserve">CYD ESP32-2432S028R (2,8" ILI9341, resistiver Touch)</t>
  </si>
  <si>
    <t xml:space="preserve">Stk</t>
  </si>
  <si>
    <t xml:space="preserve">ESP32-2432S028R, 2,8" 240×320, Touch, Platine 50×86 mm; JST-1,25-4-Pin an CN1/P3</t>
  </si>
  <si>
    <t xml:space="preserve">Pflicht</t>
  </si>
  <si>
    <t xml:space="preserve">Wägezelle 5 kg + HX711</t>
  </si>
  <si>
    <t xml:space="preserve">Set</t>
  </si>
  <si>
    <t xml:space="preserve">Alu-Biegebalken 80×12,7×12,7 mm, 2×M4 / 2×M5 (TAL220-Bauform), HX711-Modul</t>
  </si>
  <si>
    <t xml:space="preserve">COB-LED-Streifen WS2812B (FCOB), 160 LED/m, 5 mm</t>
  </si>
  <si>
    <t xml:space="preserve">LEDs</t>
  </si>
  <si>
    <t xml:space="preserve">26 LEDs = 13 Segmente à 12,5 mm = 162,5 mm; 5 V; 5 mm breit; jede LED mit eigenem IC; hinter gedruckter Diffusor-Leiste; 330–470 Ω in DIN</t>
  </si>
  <si>
    <t xml:space="preserve">Regensensor LM393 (FC-37/YL-83)</t>
  </si>
  <si>
    <t xml:space="preserve">Sensorplatte ca. 40×54 mm + Komparator-Modul ca. 16×30 mm</t>
  </si>
  <si>
    <t xml:space="preserve">P-MOSFET AO3401A (SOT-23): Q1 LED-Strom, Q2 Akku-Schalter</t>
  </si>
  <si>
    <t xml:space="preserve">P-Kanal −30 V / −4 A, U_GS(th) −0,5…−1,3 V, High-Side; auf SOT-23-Adapter löten (V4, statt FET-Modul)</t>
  </si>
  <si>
    <t xml:space="preserve">LiPo 3,7 V (EEMB LP103454 oder gleiche Maße)</t>
  </si>
  <si>
    <t xml:space="preserve">Muss in 34,5×56×10,3 mm Fach; mit Schutzschaltung (PCM); JST-PH-2.0</t>
  </si>
  <si>
    <t xml:space="preserve">Lademodul TC4056/TP4056 USB-C mit Schutz</t>
  </si>
  <si>
    <t xml:space="preserve">Fach 17×26 mm (Anschlag!), USB-C, mit DW01-Schutz, OUT+/OUT-</t>
  </si>
  <si>
    <t xml:space="preserve">5-V-Wandler (Step-Up)</t>
  </si>
  <si>
    <t xml:space="preserve">Fach 37×17 mm; Eingang 3,0–4,2 V; 5 V, ≥1 A (Last ca. 0,5–0,8 A)</t>
  </si>
  <si>
    <t xml:space="preserve">Senkkopfschraube M3×12 (DIN 7991/965)</t>
  </si>
  <si>
    <t xml:space="preserve">selbstschneidend in 2,5-mm-Kernloch; Senkung Ø6,8</t>
  </si>
  <si>
    <t xml:space="preserve">Senkkopfschraube M4×10 (DIN 7991)</t>
  </si>
  <si>
    <t xml:space="preserve">Wägezelle Seite M4</t>
  </si>
  <si>
    <t xml:space="preserve">Senkkopfschraube M5×12 (DIN 7991)</t>
  </si>
  <si>
    <t xml:space="preserve">Wägezelle Seite M5</t>
  </si>
  <si>
    <t xml:space="preserve">Gummifüße selbstklebend</t>
  </si>
  <si>
    <t xml:space="preserve">Ø ≤ 13 mm (Tasche Ø13, 1 mm tief)</t>
  </si>
  <si>
    <t xml:space="preserve">Silikon-Matte (Pad)</t>
  </si>
  <si>
    <t xml:space="preserve">86×86 mm zuschneiden, 1–1,5 mm dick</t>
  </si>
  <si>
    <t xml:space="preserve">Widerstand 100 kΩ (Akku-Spannungsteiler GPIO35)</t>
  </si>
  <si>
    <t xml:space="preserve">100k/100k; Alternative 2×10 kΩ (gleiches Verhältnis, mehr Ruhestrom)</t>
  </si>
  <si>
    <t xml:space="preserve">Litze dünn (AWG 24–26)</t>
  </si>
  <si>
    <t xml:space="preserve">ca. 1–2 m; für 5 V/LED min. 0,14 mm²</t>
  </si>
  <si>
    <t xml:space="preserve">Kabel JST 1,25 mm 4-polig (CYD CN1/P3)</t>
  </si>
  <si>
    <t xml:space="preserve">Oft liegt dem CYD 1 Kabel bei – prüfen; sonst anlöten</t>
  </si>
  <si>
    <t xml:space="preserve">Pflicht*</t>
  </si>
  <si>
    <t xml:space="preserve">microSD-Sniffer (SD-Slot-Pins 18/19/23)</t>
  </si>
  <si>
    <t xml:space="preserve">Nur nötig, wenn nicht an die SD-Pins gelötet wird</t>
  </si>
  <si>
    <t xml:space="preserve">Schrumpfschlauch-Set</t>
  </si>
  <si>
    <t xml:space="preserve">für Lötstellen</t>
  </si>
  <si>
    <t xml:space="preserve">Doppelseitiges Klebeband (oder Heißkleber)</t>
  </si>
  <si>
    <t xml:space="preserve">Rolle</t>
  </si>
  <si>
    <t xml:space="preserve">Module fixieren</t>
  </si>
  <si>
    <t xml:space="preserve">Kabelbinder 100×2,5</t>
  </si>
  <si>
    <t xml:space="preserve">Pack</t>
  </si>
  <si>
    <t xml:space="preserve">Kabel bündeln</t>
  </si>
  <si>
    <t xml:space="preserve">JST-PH-2.0-Verlängerung 2-pol. (Akku steckbar)</t>
  </si>
  <si>
    <t xml:space="preserve">Optional: Akku nicht abschneiden</t>
  </si>
  <si>
    <t xml:space="preserve">Optional</t>
  </si>
  <si>
    <t xml:space="preserve">PLA-Filament 1,75 mm</t>
  </si>
  <si>
    <t xml:space="preserve">g</t>
  </si>
  <si>
    <t xml:space="preserve">nur falls Schule kein PLA stellt (Base ca. 80 + Deckel 16 + Pad 27 + Kappe 1 + Diffusor ca. 4 g + 2 Klemmkeile &lt; 1 g; Diffusor in Weiß)</t>
  </si>
  <si>
    <t xml:space="preserve">Jumper-Kabel-Set (Prototyp auf Breadboard)</t>
  </si>
  <si>
    <t xml:space="preserve">nur für Testaufbau</t>
  </si>
  <si>
    <t xml:space="preserve">Treiber-Transistor BC547B (NPN, TO-92)</t>
  </si>
  <si>
    <t xml:space="preserve">I_C 100 mA, h_FE 200–450; zieht das Gate von Q1 auf GND</t>
  </si>
  <si>
    <t xml:space="preserve">Widerstand 470 Ω</t>
  </si>
  <si>
    <t xml:space="preserve">in DIN direkt am LED-Streifen</t>
  </si>
  <si>
    <t xml:space="preserve">Widerstand 4,7 kΩ</t>
  </si>
  <si>
    <t xml:space="preserve">GPIO18 → Basis BC547B</t>
  </si>
  <si>
    <t xml:space="preserve">Widerstand 47 kΩ</t>
  </si>
  <si>
    <t xml:space="preserve">Basis→GND (BC547B), Gate→Source Q2</t>
  </si>
  <si>
    <t xml:space="preserve">Widerstand 10 kΩ</t>
  </si>
  <si>
    <t xml:space="preserve">Gate→Source Q1 (zusätzlich zu Pos. 14)</t>
  </si>
  <si>
    <t xml:space="preserve">SOT-23-Adapter (Breakout auf 2,54 mm)</t>
  </si>
  <si>
    <t xml:space="preserve">je ein AO3401A</t>
  </si>
  <si>
    <t xml:space="preserve">Stiftleiste 1×20, RM 2,54</t>
  </si>
  <si>
    <t xml:space="preserve">für die SOT-23-Adapter</t>
  </si>
  <si>
    <t xml:space="preserve">Elko 470 µF / 25 V (Ø 10 × 16 mm)</t>
  </si>
  <si>
    <t xml:space="preserve">5 V → GND vor Q1, liegend</t>
  </si>
  <si>
    <t xml:space="preserve">Lochrasterplatine (Zuschnitt 30 × 24,5 mm)</t>
  </si>
  <si>
    <t xml:space="preserve">FET-Platine</t>
  </si>
  <si>
    <t xml:space="preserve">Ein/Aus-Schiebeschalter C&amp;K OS102011MS2QN1</t>
  </si>
  <si>
    <t xml:space="preserve">1× Um (ON-ON), 8,6 × 4,3 × 4 mm, Schieber 2 mm, in der linken Wand</t>
  </si>
  <si>
    <t xml:space="preserve">Klemmkeile für den Schalter (3D-Druck)</t>
  </si>
  <si>
    <t xml:space="preserve">aus PLA gedruckt (stl/schalter_keile.stl), 0 €</t>
  </si>
  <si>
    <t xml:space="preserve">* Pflicht, sofern nicht gelötet wird bzw. Kabel nicht beim CYD dabei ist. Ein/Aus-Schalter ab V4 (Pos. 33, schaltet über den P-MOSFET Q2 den Akku). Keine Einpressmuttern/Muttern nötig (M3 schneidet selbst ins 2,5-mm-Loch).</t>
  </si>
  <si>
    <t xml:space="preserve">Shop</t>
  </si>
  <si>
    <t xml:space="preserve">Produkt</t>
  </si>
  <si>
    <t xml:space="preserve">Packung</t>
  </si>
  <si>
    <t xml:space="preserve">Stk/Packung</t>
  </si>
  <si>
    <t xml:space="preserve">Preis € (inkl. MwSt.)</t>
  </si>
  <si>
    <t xml:space="preserve">Preis pro Stück €</t>
  </si>
  <si>
    <t xml:space="preserve">benötigt</t>
  </si>
  <si>
    <t xml:space="preserve">Kosten für Bedarf €</t>
  </si>
  <si>
    <t xml:space="preserve">Versand</t>
  </si>
  <si>
    <t xml:space="preserve">Lieferzeit</t>
  </si>
  <si>
    <t xml:space="preserve">Link</t>
  </si>
  <si>
    <t xml:space="preserve">Datum geprüft</t>
  </si>
  <si>
    <t xml:space="preserve">Hinweis / Status</t>
  </si>
  <si>
    <t xml:space="preserve">günstigste</t>
  </si>
  <si>
    <t xml:space="preserve">CYD</t>
  </si>
  <si>
    <t xml:space="preserve">Amazon</t>
  </si>
  <si>
    <t xml:space="preserve">Fastsaw ESP32-2432S028R 2,8" Touch, USB-C</t>
  </si>
  <si>
    <t xml:space="preserve">1 Stk</t>
  </si>
  <si>
    <t xml:space="preserve">frei ab 49 € (Versand durch Amazon), sonst 3,99 €</t>
  </si>
  <si>
    <t xml:space="preserve">1–3 Tage</t>
  </si>
  <si>
    <t xml:space="preserve">https://www.amazon.de/dp/B0G1N16Q16</t>
  </si>
  <si>
    <t xml:space="preserve">08.10.2026</t>
  </si>
  <si>
    <t xml:space="preserve">Verkauf Fastsaw, Versand durch Amazon; ILI9341, Touch geprüft</t>
  </si>
  <si>
    <t xml:space="preserve">AliExpress</t>
  </si>
  <si>
    <t xml:space="preserve">ESP32-2432S028R 2,8" Touch ILI9341 (1/2/4 Stk)</t>
  </si>
  <si>
    <t xml:space="preserve">laut Suchliste kostenlos</t>
  </si>
  <si>
    <t xml:space="preserve">1–3 Wochen</t>
  </si>
  <si>
    <t xml:space="preserve">https://de.aliexpress.com/item/1005009535167188.html</t>
  </si>
  <si>
    <t xml:space="preserve">ab-Preis lt. Suchliste (günstigste Variante); Variante im Warenkorb prüfen; erst 10 verkauft</t>
  </si>
  <si>
    <t xml:space="preserve">✔ günstigste</t>
  </si>
  <si>
    <t xml:space="preserve">ESP32-2432S028R 2,8" Touch (Bestseller, 4,8★, 1.000+ verkauft)</t>
  </si>
  <si>
    <t xml:space="preserve">nicht lesbar</t>
  </si>
  <si>
    <t xml:space="preserve">https://de.aliexpress.com/item/1005007708576179.html</t>
  </si>
  <si>
    <t xml:space="preserve">ab-Preis lt. Suchliste; Versand nicht lesbar</t>
  </si>
  <si>
    <t xml:space="preserve">Berrybase / Reichelt / AZ-Delivery</t>
  </si>
  <si>
    <t xml:space="preserve">—</t>
  </si>
  <si>
    <t xml:space="preserve">nicht im Sortiment</t>
  </si>
  <si>
    <t xml:space="preserve">Wägezelle+HX711</t>
  </si>
  <si>
    <t xml:space="preserve">DIYmalls 5 kg Wägezelle + HX711</t>
  </si>
  <si>
    <t xml:space="preserve">1 Set</t>
  </si>
  <si>
    <t xml:space="preserve">https://www.amazon.de/dp/B0B9H3YMT2</t>
  </si>
  <si>
    <t xml:space="preserve">keine Schrauben dabei; HX711-Stiftleiste nicht gelötet</t>
  </si>
  <si>
    <t xml:space="preserve">Wägezelle 1–20 kg + HX711 (Set, Variante wählbar)</t>
  </si>
  <si>
    <t xml:space="preserve">AliExpress Choice: frei ab 10 € Bestellwert</t>
  </si>
  <si>
    <t xml:space="preserve">https://de.aliexpress.com/item/1005009230467552.html</t>
  </si>
  <si>
    <t xml:space="preserve">ab-Preis = günstigste Variante; Preis der 5-kg-Variante NICHT lesbar</t>
  </si>
  <si>
    <t xml:space="preserve">Berrybase</t>
  </si>
  <si>
    <t xml:space="preserve">Wägezelle 5 kg (5,40 €) + HX711 (1,25 €)</t>
  </si>
  <si>
    <t xml:space="preserve">1+1</t>
  </si>
  <si>
    <t xml:space="preserve">4,95 € DHL, frei ab 150 €</t>
  </si>
  <si>
    <t xml:space="preserve">https://www.berrybase.de/dehnungsmessstreifen-waegezelle-5kg</t>
  </si>
  <si>
    <t xml:space="preserve">beide aktuell NICHT lieferbar</t>
  </si>
  <si>
    <t xml:space="preserve">Reichelt</t>
  </si>
  <si>
    <t xml:space="preserve">Joy-IT SEN-HX711-05</t>
  </si>
  <si>
    <t xml:space="preserve">5,95 € DHL</t>
  </si>
  <si>
    <t xml:space="preserve">1–2 Tage</t>
  </si>
  <si>
    <t xml:space="preserve">PASST NICHT: Zelle 80×15×14,2 mm, nur M4 – Gehäuse müsste geändert werden</t>
  </si>
  <si>
    <t xml:space="preserve">WS2812B COB</t>
  </si>
  <si>
    <t xml:space="preserve">BTF-LIGHTING WS2812B FCOB 1 m 160 LED/m 5 V, 5 mm</t>
  </si>
  <si>
    <t xml:space="preserve">1 m</t>
  </si>
  <si>
    <t xml:space="preserve">https://www.amazon.de/dp/B0H41MCVSW</t>
  </si>
  <si>
    <t xml:space="preserve">GEWÄHLT (Design-Änderung): Variante „1M 160LEDs/m 5mm“ wählen; jede LED eigener IC, teilbar alle 12,5 mm → 26 LEDs (162,5 mm)</t>
  </si>
  <si>
    <t xml:space="preserve">WS2812B FCOB COB-Streifen (Variante wählbar)</t>
  </si>
  <si>
    <t xml:space="preserve">Rolle (Variante)</t>
  </si>
  <si>
    <t xml:space="preserve">https://de.aliexpress.com/item/1005006422072860.html</t>
  </si>
  <si>
    <t xml:space="preserve">ab-Preis = günstigste Variante; Preis für 1 m / 160 LED/m / 5 mm NICHT lesbar</t>
  </si>
  <si>
    <t xml:space="preserve">WS2812B (alt)</t>
  </si>
  <si>
    <t xml:space="preserve">BTF-Lighting WS2812B ECO 1 m 60 LED/m IP30, 10 mm</t>
  </si>
  <si>
    <t xml:space="preserve">https://www.amazon.de/dp/B088BRY2SH</t>
  </si>
  <si>
    <t xml:space="preserve">GESTRICHEN 08.10.2026: einzelne LED-Punkte sichtbar, 10 mm breit → ersetzt durch COB-Streifen</t>
  </si>
  <si>
    <t xml:space="preserve">WS2812B 30/60/74/96/144 LED/m, schwarz/weiß</t>
  </si>
  <si>
    <t xml:space="preserve">https://de.aliexpress.com/item/1005008750140385.html</t>
  </si>
  <si>
    <t xml:space="preserve">GESTRICHEN 08.10.2026: normaler Punkt-Streifen statt COB</t>
  </si>
  <si>
    <t xml:space="preserve">Regensensor</t>
  </si>
  <si>
    <t xml:space="preserve">Regensensor mit digitalem und analogem Ausgang</t>
  </si>
  <si>
    <t xml:space="preserve">https://www.berrybase.de/regensensor-mit-digitalem-und-analogem-ausgang</t>
  </si>
  <si>
    <t xml:space="preserve">lieferbar</t>
  </si>
  <si>
    <t xml:space="preserve">Regentropfen-/Feuchtigkeits-Sensormodul</t>
  </si>
  <si>
    <t xml:space="preserve">https://www.reichelt.de/de/de/shop/produkt/entwicklerboards_-_regentrofpen-_feuchtigkeits-sensormodul-282565</t>
  </si>
  <si>
    <t xml:space="preserve">Aihasd Regensensor (2 Stk)</t>
  </si>
  <si>
    <t xml:space="preserve">2 Sets</t>
  </si>
  <si>
    <t xml:space="preserve">https://www.amazon.de/dp/B017M1NJR0</t>
  </si>
  <si>
    <t xml:space="preserve">Platte 5×4 cm; Rezensionen: Korrosion</t>
  </si>
  <si>
    <t xml:space="preserve">Regentropfen-Sensormodul 3,3–5 V (1/5/10 Stk)</t>
  </si>
  <si>
    <t xml:space="preserve">https://de.aliexpress.com/item/1005007987689565.html</t>
  </si>
  <si>
    <t xml:space="preserve">ab-Preis lt. Suchliste</t>
  </si>
  <si>
    <t xml:space="preserve">FET-Modul (alt)</t>
  </si>
  <si>
    <t xml:space="preserve">GERUI Dual-MOS Schaltmodul (8 Stk)</t>
  </si>
  <si>
    <t xml:space="preserve">8 Stk</t>
  </si>
  <si>
    <t xml:space="preserve">https://www.amazon.de/dp/B0DG8B58PM</t>
  </si>
  <si>
    <t xml:space="preserve">GESTRICHEN 09.10.2026 (V4): Low-Side und mit 3,3 V am Gate unsicher → P-MOSFET AO3401A (High-Side) mit BC547B-Treiber</t>
  </si>
  <si>
    <t xml:space="preserve">LiPo</t>
  </si>
  <si>
    <t xml:space="preserve">EEMB LP103454 3,7 V, PCM, JST-PH 2.0</t>
  </si>
  <si>
    <t xml:space="preserve">https://www.amazon.de/dp/B08214DJLJ</t>
  </si>
  <si>
    <t xml:space="preserve">34,5×56×10,6 mm → passt (ca. 1,1 mm Luft unter CYD); POLARITÄT prüfen</t>
  </si>
  <si>
    <t xml:space="preserve">Berrybase / Reichelt</t>
  </si>
  <si>
    <t xml:space="preserve">kein passendes Format gefunden</t>
  </si>
  <si>
    <t xml:space="preserve">TC4056 USB-C</t>
  </si>
  <si>
    <t xml:space="preserve">TC4056 USB-C Lademodul mit Schutz (10 Stk)</t>
  </si>
  <si>
    <t xml:space="preserve">10 Stk</t>
  </si>
  <si>
    <t xml:space="preserve">https://www.amazon.de/dp/B0F67KYB4F</t>
  </si>
  <si>
    <t xml:space="preserve">Maß 'Standard' – vor Einbau messen (Fach 26 mm); evtl. fehlende CC-Widerstände</t>
  </si>
  <si>
    <t xml:space="preserve">TP4056 Typ-C/Micro mit Schutz (2/5 Stk)</t>
  </si>
  <si>
    <t xml:space="preserve">2 Stk (Variante)</t>
  </si>
  <si>
    <t xml:space="preserve">https://de.aliexpress.com/item/1005013255677257.html</t>
  </si>
  <si>
    <t xml:space="preserve">ab-Preis = günstigste Variante (evtl. Micro-USB) – Typ-C wählen</t>
  </si>
  <si>
    <t xml:space="preserve">Ladeplatine mit Ausgang, Micro-USB</t>
  </si>
  <si>
    <t xml:space="preserve">https://www.berrybase.de/ladeplatine-fuer-3-7v-liion-lipo-akkus-mit-ausgang-micro-usb-loetpads-1000ma</t>
  </si>
  <si>
    <t xml:space="preserve">Micro-USB – Gehäuse ist für USB-C gebaut; USB-C-Version nicht lieferbar</t>
  </si>
  <si>
    <t xml:space="preserve">Step-Up 5 V</t>
  </si>
  <si>
    <t xml:space="preserve">Pololu S13V10F5 5 V 1 A Step-Up/Step-Down</t>
  </si>
  <si>
    <t xml:space="preserve">https://www.berrybase.de/pololu-s13v10f5-5v-1a-step-up-step-down-converter</t>
  </si>
  <si>
    <t xml:space="preserve">GEWÄHLT in beiden Körben (08.10.2026): fest 5 V, 1 A, UVLO, Softstart, Überstromschutz; klein (ca. 9×12 mm) → im 37×17-Fach fixieren. Vergleich: Botland 7,90 € + Versand ab 4,99 € (eigener Shop, https://botland.de/aufwarts-abwartswandler/21022-s13v10f5-aufwarts-abwartswandler-5v-1a-pololu-4083.html), Eckstein 11,80 € – Berrybase ist im Korb am günstigsten, weil der Berrybase-Versand ohnehin anfällt</t>
  </si>
  <si>
    <t xml:space="preserve">Pololu S13V20F5 5 V 2 A</t>
  </si>
  <si>
    <t xml:space="preserve">https://www.berrybase.de/pololu-s13v20f5-5v-2a-step-up-step-down-spannungsregler</t>
  </si>
  <si>
    <t xml:space="preserve">mehr Reserve</t>
  </si>
  <si>
    <t xml:space="preserve">MT3608 Step-Up einstellbar (2 Stk)</t>
  </si>
  <si>
    <t xml:space="preserve">2 Stk</t>
  </si>
  <si>
    <t xml:space="preserve">lt. Liste '3+, kein Zollaufschlag'</t>
  </si>
  <si>
    <t xml:space="preserve">https://de.aliexpress.com/item/1005009806778521.html</t>
  </si>
  <si>
    <t xml:space="preserve">GESTRICHEN 08.10.2026 (auch im günstigen Korb): bei 3,7→5 V real nur ca. 0,5 A – zu wenig für CYD (0,25–0,35 A) + 26 COB-LEDs (bis ca. 0,49 A); Poti, Ripple, heiß</t>
  </si>
  <si>
    <t xml:space="preserve">AZDelivery 3× MT3608</t>
  </si>
  <si>
    <t xml:space="preserve">3 Stk</t>
  </si>
  <si>
    <t xml:space="preserve">https://www.amazon.de/dp/B07YWKN9NW</t>
  </si>
  <si>
    <t xml:space="preserve">derzeit nicht verfügbar; außerdem zu schwach (siehe Zeile darüber)</t>
  </si>
  <si>
    <t xml:space="preserve">M3×12</t>
  </si>
  <si>
    <t xml:space="preserve">alleschrauben.de</t>
  </si>
  <si>
    <t xml:space="preserve">Senkkopfschraube M3×12 Innensechskant DIN 7991 A2</t>
  </si>
  <si>
    <t xml:space="preserve">ab 10 Stk</t>
  </si>
  <si>
    <t xml:space="preserve">nicht lesbar (erst im Warenkorb), frei ab 79 €</t>
  </si>
  <si>
    <t xml:space="preserve">https://alleschrauben.de/Schrauben/Senkkopf/Senkkopfschrauben-DIN-7991/Senkkopfschrauben-M3x12-mit-Innensechskant-DIN-7991-Edelstahl-A2</t>
  </si>
  <si>
    <t xml:space="preserve">0,25 €/Stk ab 10</t>
  </si>
  <si>
    <t xml:space="preserve">M4×10</t>
  </si>
  <si>
    <t xml:space="preserve">Senkkopfschraube M4×10 Innensechskant DIN 7991 A2</t>
  </si>
  <si>
    <t xml:space="preserve">Stück</t>
  </si>
  <si>
    <t xml:space="preserve">https://alleschrauben.de/Schrauben/Senkkopf/Senkkopfschrauben-DIN-7991/Senkkopfschrauben-M4x10-mit-Innensechskant-DIN-7991-Edelstahl-A2</t>
  </si>
  <si>
    <t xml:space="preserve">Flach-Senkkopfschrauben PZD M4×10 (50 Stk)</t>
  </si>
  <si>
    <t xml:space="preserve">50 Stk</t>
  </si>
  <si>
    <t xml:space="preserve">https://www.reichelt.de/de/de/shop/produkt/flach-senkkopfschrauben_kreuzschlitz_pzd_m4_10_mm_50_stueck-65750</t>
  </si>
  <si>
    <t xml:space="preserve">nur M4 – M3/M5 dort nicht gefunden</t>
  </si>
  <si>
    <t xml:space="preserve">M5×12</t>
  </si>
  <si>
    <t xml:space="preserve">Senkkopfschraube M5×12 Innensechskant DIN 7991 A2</t>
  </si>
  <si>
    <t xml:space="preserve">https://alleschrauben.de/Schrauben/Senkkopf/Senkkopfschrauben-DIN-7991/Senkkopfschrauben-M5x12-mit-Innensechskant-DIN-7991-Edelstahl-A2</t>
  </si>
  <si>
    <t xml:space="preserve">Füße</t>
  </si>
  <si>
    <t xml:space="preserve">FIX&amp;FASTEN Fuß rund Ø10 × 4,5 mm Gummi</t>
  </si>
  <si>
    <t xml:space="preserve">https://www.berrybase.de/fix-fasten-selbstklebender-fuss-rund-oben-9-5mm-unten-10mm-hoehe-4-5mm-gummi-schwarz</t>
  </si>
  <si>
    <t xml:space="preserve">passt in Ø13-Tasche</t>
  </si>
  <si>
    <t xml:space="preserve">InLine Gummifüße Ø12 × 3,6 mm (20 Stk)</t>
  </si>
  <si>
    <t xml:space="preserve">20 Stk</t>
  </si>
  <si>
    <t xml:space="preserve">https://www.amazon.de/dp/B09LDCTQGY</t>
  </si>
  <si>
    <t xml:space="preserve">Silikonmatte</t>
  </si>
  <si>
    <t xml:space="preserve">FICOFISE Silikonmatte 40×30 cm, 1,2 mm</t>
  </si>
  <si>
    <t xml:space="preserve">https://www.amazon.de/dp/B0GVNMS4DZ</t>
  </si>
  <si>
    <t xml:space="preserve">Silikon klebt kaum → einlegen oder Silikonkleber</t>
  </si>
  <si>
    <t xml:space="preserve">Widerstand</t>
  </si>
  <si>
    <t xml:space="preserve">Metallschicht 100 kΩ 0207 0,6 W 1 %</t>
  </si>
  <si>
    <t xml:space="preserve">https://www.reichelt.de/de/de/shop/produkt/widerstand_metallschicht_100_kohm_0207_0_6_w_1_-11458</t>
  </si>
  <si>
    <t xml:space="preserve">Original-Wert; lohnt nur mit anderer Reichelt-Bestellung</t>
  </si>
  <si>
    <t xml:space="preserve">Metallschicht 100 kΩ 1/4 W</t>
  </si>
  <si>
    <t xml:space="preserve">https://www.berrybase.de/metallschichtwiderstand-100-0-kohm-1-4w-1-0207-axial-durchsteckmontage</t>
  </si>
  <si>
    <t xml:space="preserve">nicht lieferbar</t>
  </si>
  <si>
    <t xml:space="preserve">Metallschicht 10 kΩ 1/4 W (Ersatz)</t>
  </si>
  <si>
    <t xml:space="preserve">https://www.berrybase.de/metallschichtwiderstand-10-0-kohm-1-4w-1-0207-axial-durchsteckmontage</t>
  </si>
  <si>
    <t xml:space="preserve">ERSATZ 2×10k: gleiches Verhältnis 1:2 (Firmware unverändert), aber ~0,2 mA Dauerstrom</t>
  </si>
  <si>
    <t xml:space="preserve">Litze</t>
  </si>
  <si>
    <t xml:space="preserve">Vierlingslitze 4×0,14 mm², 5 m</t>
  </si>
  <si>
    <t xml:space="preserve">5 m</t>
  </si>
  <si>
    <t xml:space="preserve">https://www.berrybase.de/vierlingslitze-isoliert-4x0-14mm-5m-farbe-blau-gelb-rot-gruen</t>
  </si>
  <si>
    <t xml:space="preserve">reicht für Signale + kurze 5-V-Leitungen</t>
  </si>
  <si>
    <t xml:space="preserve">Vierlingslitze 4×0,25 mm², 5 m</t>
  </si>
  <si>
    <t xml:space="preserve">https://www.berrybase.de/vierlingslitze-isoliert-4x0-25mm-fuer-rgb-led-stripes-5m</t>
  </si>
  <si>
    <t xml:space="preserve">dicker, für LED-Strom</t>
  </si>
  <si>
    <t xml:space="preserve">Silikonlitze 30–20 AWG (Variante)</t>
  </si>
  <si>
    <t xml:space="preserve">Variante</t>
  </si>
  <si>
    <t xml:space="preserve">https://de.aliexpress.com/item/1005008607415668.html</t>
  </si>
  <si>
    <t xml:space="preserve">ab-Preis = günstigste Variante; Länge/AWG im Warenkorb prüfen</t>
  </si>
  <si>
    <t xml:space="preserve">JST 1,25 4-pol.</t>
  </si>
  <si>
    <t xml:space="preserve">Micro JST 1,25 mm Stecker+Buchse mit Kabel 2–6P (20 Stk)</t>
  </si>
  <si>
    <t xml:space="preserve">Set (Variante)</t>
  </si>
  <si>
    <t xml:space="preserve">https://de.aliexpress.com/item/4001171710583.html</t>
  </si>
  <si>
    <t xml:space="preserve">ab-Preis; 4P-Variante wählen; DE-Shops: kein passendes 4-pol. 1,25-mm-Kabel lieferbar gefunden</t>
  </si>
  <si>
    <t xml:space="preserve">microSD-Sniffer</t>
  </si>
  <si>
    <t xml:space="preserve">Micro SD Sniffer TF-Adapter (1–3 Stk)</t>
  </si>
  <si>
    <t xml:space="preserve">https://de.aliexpress.com/item/1005009886368149.html</t>
  </si>
  <si>
    <t xml:space="preserve">ab-Preis lt. Suchliste; DE: Preis nicht ermittelt (Berrybase: kein Treffer)</t>
  </si>
  <si>
    <t xml:space="preserve">Schrumpfschlauch</t>
  </si>
  <si>
    <t xml:space="preserve">Schrumpfschlauch-Set 100-tlg. schwarz</t>
  </si>
  <si>
    <t xml:space="preserve">https://www.berrybase.de/schrumpfschlauch-set-100-teilig-in-sortimentsbox-schwarz</t>
  </si>
  <si>
    <t xml:space="preserve">Klebeband</t>
  </si>
  <si>
    <t xml:space="preserve">TESA doppelseitig 10 m × 12 mm</t>
  </si>
  <si>
    <t xml:space="preserve">https://www.berrybase.de/tesa-doppelseitiges-klebeband-10m-x-12mm-transparent-pp-traeger-loesungsmittelfrei</t>
  </si>
  <si>
    <t xml:space="preserve">nur 1 Stk auf Lager</t>
  </si>
  <si>
    <t xml:space="preserve">Kabelbinder</t>
  </si>
  <si>
    <t xml:space="preserve">Kabelbinder UV-beständig 100×2,5 (100 Stk)</t>
  </si>
  <si>
    <t xml:space="preserve">100 Stk</t>
  </si>
  <si>
    <t xml:space="preserve">https://www.berrybase.de/kabelbinder-uv-bestaendig-nylon-100-stueck/farbe-transparent/masse-100x2-5mm</t>
  </si>
  <si>
    <t xml:space="preserve">JST-PH-Verl. (opt.)</t>
  </si>
  <si>
    <t xml:space="preserve">Verlängerung 2-pol. JST-PH 2.0 Stecker/Buchse 50 cm</t>
  </si>
  <si>
    <t xml:space="preserve">https://www.berrybase.de/verlaengerungskabel-2-pin-jst-ph-2.0mm-stecker-buchse-awg24-50cm</t>
  </si>
  <si>
    <t xml:space="preserve">optional</t>
  </si>
  <si>
    <t xml:space="preserve">PLA (opt.)</t>
  </si>
  <si>
    <t xml:space="preserve">SUNLU PLA 1,75 mm 1 kg weiß</t>
  </si>
  <si>
    <t xml:space="preserve">1 kg</t>
  </si>
  <si>
    <t xml:space="preserve">https://www.amazon.de/dp/B0BTHSVQ89</t>
  </si>
  <si>
    <t xml:space="preserve">optional; ca. 128 g (inkl. Diffusor ca. 4 g weiß); früher 11,29 € – jetzt 14,99 € (anderer Händler auf Seite 13,99 €)</t>
  </si>
  <si>
    <t xml:space="preserve">Jumper (opt.)</t>
  </si>
  <si>
    <t xml:space="preserve">ELEGOO 120 Jumper-Kabel 20 cm</t>
  </si>
  <si>
    <t xml:space="preserve">120 Stk</t>
  </si>
  <si>
    <t xml:space="preserve">https://www.amazon.de/dp/B01EV70C78</t>
  </si>
  <si>
    <t xml:space="preserve">optional, nur Prototyp</t>
  </si>
  <si>
    <t xml:space="preserve">P-MOSFET</t>
  </si>
  <si>
    <t xml:space="preserve">Alpha &amp; Omega AO3401A, P-Kanal −30 V −4 A, SOT-23</t>
  </si>
  <si>
    <t xml:space="preserve">Versandkosten ab 5,95 €</t>
  </si>
  <si>
    <t xml:space="preserve">https://www.reichelt.de/de/de/shop/produkt/mosfet_p-ch_-30v_-4a_0_041r_sot-23-166486</t>
  </si>
  <si>
    <t xml:space="preserve">09.10.2026</t>
  </si>
  <si>
    <t xml:space="preserve">ab Lager; Berrybase führt keinen P-MOSFET (Suche 09.10.2026) → eigener Reichelt-Versand</t>
  </si>
  <si>
    <t xml:space="preserve">Treiber-Transistor</t>
  </si>
  <si>
    <t xml:space="preserve">BC547B, NPN, 45 V, 100 mA, TO-92</t>
  </si>
  <si>
    <t xml:space="preserve">https://www.berrybase.de/bc547b-bipolarer-transistor-npn-45v-100ma-to-92-3-pin</t>
  </si>
  <si>
    <t xml:space="preserve">schaltet das Gate von Q1 (GPIO18 → 4,7 kΩ → Basis)</t>
  </si>
  <si>
    <t xml:space="preserve">Metallschicht 470 Ω 1/4 W 1 %</t>
  </si>
  <si>
    <t xml:space="preserve">https://www.berrybase.de/metallschichtwiderstand-470-0-ohm-1-4w-1-0207-axial-durchsteckmontage</t>
  </si>
  <si>
    <t xml:space="preserve">Metallschicht 4,7 kΩ 1/4 W 1 %</t>
  </si>
  <si>
    <t xml:space="preserve">https://www.berrybase.de/metallschichtwiderstand-4-7-kohm-1-4w-1-0207-axial-durchsteckmontage</t>
  </si>
  <si>
    <t xml:space="preserve">Metallschicht 47 kΩ 1/4 W 1 %</t>
  </si>
  <si>
    <t xml:space="preserve">https://www.berrybase.de/metallschichtwiderstand-47-0-kohm-1-4w-1-0207-axial-durchsteckmontage</t>
  </si>
  <si>
    <t xml:space="preserve">Basis→GND und Gate→Source Q2</t>
  </si>
  <si>
    <t xml:space="preserve">Widerstand 10 kΩ (Gate Q1)</t>
  </si>
  <si>
    <t xml:space="preserve">Metallschicht 10 kΩ 1/4 W 1 %</t>
  </si>
  <si>
    <t xml:space="preserve">Gate→Source Q1; zusätzlich zu den 2 Stk. für den Akku-Teiler</t>
  </si>
  <si>
    <t xml:space="preserve">SOT-23-Adapter</t>
  </si>
  <si>
    <t xml:space="preserve">SMD Breakout Adapter SOT23 / SSOP10 / MSOP10, 12,7 × 10,2 mm</t>
  </si>
  <si>
    <t xml:space="preserve">https://www.berrybase.de/smd-breakout-adapter-fuer-sot23-ssop10-msop10-10-pin-0-50mm-0-95mm</t>
  </si>
  <si>
    <t xml:space="preserve">je ein AO3401A darauf löten; ohne Stiftleiste geliefert</t>
  </si>
  <si>
    <t xml:space="preserve">Stiftleiste</t>
  </si>
  <si>
    <t xml:space="preserve">Stiftleiste 1× 20-polig, RM 2,54, gerade</t>
  </si>
  <si>
    <t xml:space="preserve">https://www.berrybase.de/stiftleiste-1x-20-polig-rm-2-54-gerade</t>
  </si>
  <si>
    <t xml:space="preserve">für die 2 SOT-23-Adapter</t>
  </si>
  <si>
    <t xml:space="preserve">Elko 470 µF</t>
  </si>
  <si>
    <t xml:space="preserve">Elektrolytkondensator 470 µF, 25 V, 105 °C, Ø 10 × 16 mm</t>
  </si>
  <si>
    <t xml:space="preserve">https://www.berrybase.de/elektrolytkondensator-470-f-25v-1050c-1-radial-tht</t>
  </si>
  <si>
    <t xml:space="preserve">5 V → GND vor Q1, liegt auf der FET-Platine</t>
  </si>
  <si>
    <t xml:space="preserve">Lochrasterplatine</t>
  </si>
  <si>
    <t xml:space="preserve">Lochrasterplatine „9 × 15 cm“ einseitig Kupfer (laut Daten 70,5 × 50,4 mm)</t>
  </si>
  <si>
    <t xml:space="preserve">https://www.berrybase.de/lochrasterplatine-9x15cm-mit-einseitiger-kupferauflage</t>
  </si>
  <si>
    <t xml:space="preserve">auf 30 × 24,5 mm zuschneiden; 5 × 7 cm (0,30 €) nicht lieferbar</t>
  </si>
  <si>
    <t xml:space="preserve">Ein/Aus-Schalter</t>
  </si>
  <si>
    <t xml:space="preserve">Schiebeschalter Printmontage ON-ON, 8,6 × 4,3 × 4 mm, gerade (C&amp;K OS102011MS2QN1)</t>
  </si>
  <si>
    <t xml:space="preserve">https://www.berrybase.de/schiebeschalter-printmontage-on-on-2-stellig-8.6x4.3x4mm-gerade</t>
  </si>
  <si>
    <t xml:space="preserve">schaltet nur das Gate von Q2 (ca. 0,08 mA, Schalter 0,1 A)</t>
  </si>
  <si>
    <t xml:space="preserve">Legende: grün = günstigstes geeignetes Angebot (Kosten für Bedarf); rot = nicht lieferbar / passt nicht. AliExpress-Preise = 'ab'-Preis der günstigsten Variante laut Suchliste (EUR inkl. 19 % MwSt.); Produktseiten sind nicht maschinell lesbar → Preis der benötigten Variante im Warenkorb prüfen.</t>
  </si>
  <si>
    <t xml:space="preserve">Versand: Amazon frei ab 49 € (nur Artikel mit Versand durch Amazon), sonst 3,99 €; Berrybase 4,95 € (frei ab 150 €); Reichelt ab 5,95 € (AO3401A-Seite, 09.10.2026); alleschrauben.de: Versandkosten erst im Warenkorb sichtbar (frei ab 79 €). Mindestbestellwerte: auf den gelesenen Seiten nicht angegeben.</t>
  </si>
  <si>
    <t xml:space="preserve">Korb 1: Schnell (DE-Shops, 1–3 Tage) – 4 Shops (Amazon, Berrybase, Reichelt, alleschrauben.de)</t>
  </si>
  <si>
    <t xml:space="preserve">Artikel</t>
  </si>
  <si>
    <t xml:space="preserve">Packungen</t>
  </si>
  <si>
    <t xml:space="preserve">Preis/Packung €</t>
  </si>
  <si>
    <t xml:space="preserve">Summe €</t>
  </si>
  <si>
    <t xml:space="preserve">Hinweis</t>
  </si>
  <si>
    <t xml:space="preserve">Fastsaw ESP32-2432S028R</t>
  </si>
  <si>
    <t xml:space="preserve">DIYmalls 5 kg + HX711</t>
  </si>
  <si>
    <t xml:space="preserve">HX711-Pins selbst löten</t>
  </si>
  <si>
    <t xml:space="preserve">COB-LED-Streifen</t>
  </si>
  <si>
    <t xml:space="preserve">BTF WS2812B FCOB 1 m 160/m 5 mm</t>
  </si>
  <si>
    <t xml:space="preserve">Variante „1M 160LEDs/m 5mm“; 26 LEDs (13 Segmente) abschneiden; Diffusor wird gedruckt (0 €)</t>
  </si>
  <si>
    <t xml:space="preserve">AO3401A SOT-23</t>
  </si>
  <si>
    <t xml:space="preserve">Q1 LED-Strom + Q2 Akku-Schalter (V4); Berrybase hat keinen P-MOSFET</t>
  </si>
  <si>
    <t xml:space="preserve">EEMB LP103454</t>
  </si>
  <si>
    <t xml:space="preserve">Polarität prüfen</t>
  </si>
  <si>
    <t xml:space="preserve">TC4056 USB-C (10 Stk)</t>
  </si>
  <si>
    <t xml:space="preserve">Länge messen (Fach 26 mm)</t>
  </si>
  <si>
    <t xml:space="preserve">FICOFISE 40×30 cm 1,2 mm</t>
  </si>
  <si>
    <t xml:space="preserve">Regensensor dig./analog</t>
  </si>
  <si>
    <t xml:space="preserve">Pololu S13V10F5</t>
  </si>
  <si>
    <t xml:space="preserve">statt MT3608 (zu schwach, ca. 0,5 A bei 3,7 V)</t>
  </si>
  <si>
    <t xml:space="preserve">FIX&amp;FASTEN Ø10×4,5</t>
  </si>
  <si>
    <t xml:space="preserve">Widerstand (Ersatz 10k)</t>
  </si>
  <si>
    <t xml:space="preserve">Metallschicht 10 kΩ</t>
  </si>
  <si>
    <t xml:space="preserve">100k bei Berrybase nicht lieferbar</t>
  </si>
  <si>
    <t xml:space="preserve">Vierlingslitze 4×0,14 mm² 5 m</t>
  </si>
  <si>
    <t xml:space="preserve">Set 100-tlg. schwarz</t>
  </si>
  <si>
    <t xml:space="preserve">TESA doppelseitig 12 mm</t>
  </si>
  <si>
    <t xml:space="preserve">nur 1 auf Lager</t>
  </si>
  <si>
    <t xml:space="preserve">100×2,5 (100 Stk)</t>
  </si>
  <si>
    <t xml:space="preserve">BC547B NPN TO-92</t>
  </si>
  <si>
    <t xml:space="preserve">Metallschicht 470 Ω</t>
  </si>
  <si>
    <t xml:space="preserve">Metallschicht 4,7 kΩ</t>
  </si>
  <si>
    <t xml:space="preserve">Metallschicht 47 kΩ</t>
  </si>
  <si>
    <t xml:space="preserve">SMD-Adapter SOT23/SSOP10</t>
  </si>
  <si>
    <t xml:space="preserve">Stiftleiste 1×20 RM 2,54</t>
  </si>
  <si>
    <t xml:space="preserve">Elko 470 µF 25 V</t>
  </si>
  <si>
    <t xml:space="preserve">Lochraster einseitig</t>
  </si>
  <si>
    <t xml:space="preserve">Schiebeschalter C&amp;K OS102011MS2QN1</t>
  </si>
  <si>
    <t xml:space="preserve">DIN 7991 A2 (10 Stk)</t>
  </si>
  <si>
    <t xml:space="preserve">DIN 7991 A2</t>
  </si>
  <si>
    <t xml:space="preserve">Warenwert €</t>
  </si>
  <si>
    <t xml:space="preserve">Versand €</t>
  </si>
  <si>
    <t xml:space="preserve">Shop gesamt €</t>
  </si>
  <si>
    <t xml:space="preserve">Versand-Hinweis</t>
  </si>
  <si>
    <t xml:space="preserve">frei ab 49 € nur bei 'Versand durch Amazon' – im Warenkorb prüfen</t>
  </si>
  <si>
    <t xml:space="preserve">DHL</t>
  </si>
  <si>
    <t xml:space="preserve">Versandkosten ab 5,95 € (Reichelt-Produktseite, 09.10.2026)</t>
  </si>
  <si>
    <t xml:space="preserve">Versand nicht lesbar (frei ab 79 €)</t>
  </si>
  <si>
    <t xml:space="preserve">GESAMT inkl. Versand</t>
  </si>
  <si>
    <t xml:space="preserve">+ Versand alleschrauben.de (nicht lesbar)</t>
  </si>
  <si>
    <t xml:space="preserve">Korb 2: Am günstigsten (inkl. AliExpress, 1–3 Wochen) – AliExpress-Werte sind ab-Preise</t>
  </si>
  <si>
    <t xml:space="preserve">ESP32-2432S028R (ab-Preis)</t>
  </si>
  <si>
    <t xml:space="preserve">Variante prüfen</t>
  </si>
  <si>
    <t xml:space="preserve">Wägezelle+HX711 (ab-Preis)</t>
  </si>
  <si>
    <t xml:space="preserve">5-kg-Preis nicht lesbar</t>
  </si>
  <si>
    <t xml:space="preserve">WS2812B FCOB COB-Streifen (ab-Preis)</t>
  </si>
  <si>
    <t xml:space="preserve">Preis der Variante 1 m/160 LED/m/5 mm nicht lesbar</t>
  </si>
  <si>
    <t xml:space="preserve">TP4056 Typ-C 2 Stk (ab-Preis)</t>
  </si>
  <si>
    <t xml:space="preserve">Typ-C wählen</t>
  </si>
  <si>
    <t xml:space="preserve">Pololu S13V10F5 5 V 1 A</t>
  </si>
  <si>
    <t xml:space="preserve">statt MT3608 (08.10.2026): MT3608 liefert bei 3,7 V nur ca. 0,5 A – zu wenig für CYD + 26 COB-LEDs</t>
  </si>
  <si>
    <t xml:space="preserve">Silikonlitze (ab-Preis)</t>
  </si>
  <si>
    <t xml:space="preserve">Micro JST 1,25 Set (ab-Preis)</t>
  </si>
  <si>
    <t xml:space="preserve">nur falls nicht beim CYD</t>
  </si>
  <si>
    <t xml:space="preserve">Micro SD Sniffer (ab-Preis)</t>
  </si>
  <si>
    <t xml:space="preserve">entfällt bei Löten</t>
  </si>
  <si>
    <t xml:space="preserve">FICOFISE 40×30 cm</t>
  </si>
  <si>
    <t xml:space="preserve">(AliExpress ab 1,59 € – lohnt nicht, Berrybase ohnehin im Korb)</t>
  </si>
  <si>
    <t xml:space="preserve">CYD lt. Liste versandfrei, Choice-Artikel frei ab 10 €; COB-Streifen und übrige Artikel: Versand nicht lesbar</t>
  </si>
  <si>
    <t xml:space="preserve">unter 49 € → 3,99 € (Packstation 1,99 €)</t>
  </si>
  <si>
    <t xml:space="preserve">Optional (nicht in den Summen):</t>
  </si>
  <si>
    <t xml:space="preserve">JST-PH-2.0-Verlängerung 2-pol. (Berrybase)</t>
  </si>
  <si>
    <t xml:space="preserve">PLA SUNLU 1 kg (Amazon) – nur falls Schule kein PLA stellt</t>
  </si>
  <si>
    <t xml:space="preserve">ELEGOO Jumper-Kabel 120 Stk (Amazon) – nur Prototyp</t>
  </si>
  <si>
    <t xml:space="preserve">Pololu S13V20F5 5 V 2 A (Berrybase) – mehr Reserve statt S13V10F5</t>
  </si>
  <si>
    <t xml:space="preserve">Reichelt 100 kΩ (2 Stk à 0,09 €) – Originalwert für den Akku-Teiler; da jetzt ohnehin bei Reichelt bestellt wird (AO3401A), ohne Extra-Versand mitbestellbar → Teiler-Strom ca. 0,2 → 0,02 mA (Stromsparplan H4)</t>
  </si>
  <si>
    <t xml:space="preserve">Nicht ermittelbar: Versandkosten alleschrauben.de; AliExpress-Preise der exakten Varianten; microSD-Sniffer und JST-1,25-4-pol.-Kabel in DE-Shops nicht gefunden.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</si>
</sst>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#,##0.0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0563C1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mazon.de/dp/B0G1N16Q16" TargetMode="External"/><Relationship Id="rId2" Type="http://schemas.openxmlformats.org/officeDocument/2006/relationships/hyperlink" Target="https://de.aliexpress.com/item/1005009535167188.html" TargetMode="External"/><Relationship Id="rId3" Type="http://schemas.openxmlformats.org/officeDocument/2006/relationships/hyperlink" Target="https://de.aliexpress.com/item/1005007708576179.html" TargetMode="External"/><Relationship Id="rId4" Type="http://schemas.openxmlformats.org/officeDocument/2006/relationships/hyperlink" Target="https://www.amazon.de/dp/B0B9H3YMT2" TargetMode="External"/><Relationship Id="rId5" Type="http://schemas.openxmlformats.org/officeDocument/2006/relationships/hyperlink" Target="https://de.aliexpress.com/item/1005009230467552.html" TargetMode="External"/><Relationship Id="rId6" Type="http://schemas.openxmlformats.org/officeDocument/2006/relationships/hyperlink" Target="https://www.berrybase.de/dehnungsmessstreifen-waegezelle-5kg" TargetMode="External"/><Relationship Id="rId7" Type="http://schemas.openxmlformats.org/officeDocument/2006/relationships/hyperlink" Target="https://www.amazon.de/dp/B0H41MCVSW" TargetMode="External"/><Relationship Id="rId8" Type="http://schemas.openxmlformats.org/officeDocument/2006/relationships/hyperlink" Target="https://de.aliexpress.com/item/1005006422072860.html" TargetMode="External"/><Relationship Id="rId9" Type="http://schemas.openxmlformats.org/officeDocument/2006/relationships/hyperlink" Target="https://www.amazon.de/dp/B088BRY2SH" TargetMode="External"/><Relationship Id="rId10" Type="http://schemas.openxmlformats.org/officeDocument/2006/relationships/hyperlink" Target="https://de.aliexpress.com/item/1005008750140385.html" TargetMode="External"/><Relationship Id="rId11" Type="http://schemas.openxmlformats.org/officeDocument/2006/relationships/hyperlink" Target="https://www.berrybase.de/regensensor-mit-digitalem-und-analogem-ausgang" TargetMode="External"/><Relationship Id="rId12" Type="http://schemas.openxmlformats.org/officeDocument/2006/relationships/hyperlink" Target="https://www.reichelt.de/de/de/shop/produkt/entwicklerboards_-_regentrofpen-_feuchtigkeits-sensormodul-282565" TargetMode="External"/><Relationship Id="rId13" Type="http://schemas.openxmlformats.org/officeDocument/2006/relationships/hyperlink" Target="https://www.amazon.de/dp/B017M1NJR0" TargetMode="External"/><Relationship Id="rId14" Type="http://schemas.openxmlformats.org/officeDocument/2006/relationships/hyperlink" Target="https://de.aliexpress.com/item/1005007987689565.html" TargetMode="External"/><Relationship Id="rId15" Type="http://schemas.openxmlformats.org/officeDocument/2006/relationships/hyperlink" Target="https://www.amazon.de/dp/B0DG8B58PM" TargetMode="External"/><Relationship Id="rId16" Type="http://schemas.openxmlformats.org/officeDocument/2006/relationships/hyperlink" Target="https://www.amazon.de/dp/B08214DJLJ" TargetMode="External"/><Relationship Id="rId17" Type="http://schemas.openxmlformats.org/officeDocument/2006/relationships/hyperlink" Target="https://www.amazon.de/dp/B0F67KYB4F" TargetMode="External"/><Relationship Id="rId18" Type="http://schemas.openxmlformats.org/officeDocument/2006/relationships/hyperlink" Target="https://de.aliexpress.com/item/1005013255677257.html" TargetMode="External"/><Relationship Id="rId19" Type="http://schemas.openxmlformats.org/officeDocument/2006/relationships/hyperlink" Target="https://www.berrybase.de/ladeplatine-fuer-3-7v-liion-lipo-akkus-mit-ausgang-micro-usb-loetpads-1000ma" TargetMode="External"/><Relationship Id="rId20" Type="http://schemas.openxmlformats.org/officeDocument/2006/relationships/hyperlink" Target="https://www.berrybase.de/pololu-s13v10f5-5v-1a-step-up-step-down-converter" TargetMode="External"/><Relationship Id="rId21" Type="http://schemas.openxmlformats.org/officeDocument/2006/relationships/hyperlink" Target="https://www.berrybase.de/pololu-s13v20f5-5v-2a-step-up-step-down-spannungsregler" TargetMode="External"/><Relationship Id="rId22" Type="http://schemas.openxmlformats.org/officeDocument/2006/relationships/hyperlink" Target="https://de.aliexpress.com/item/1005009806778521.html" TargetMode="External"/><Relationship Id="rId23" Type="http://schemas.openxmlformats.org/officeDocument/2006/relationships/hyperlink" Target="https://www.amazon.de/dp/B07YWKN9NW" TargetMode="External"/><Relationship Id="rId24" Type="http://schemas.openxmlformats.org/officeDocument/2006/relationships/hyperlink" Target="https://alleschrauben.de/Schrauben/Senkkopf/Senkkopfschrauben-DIN-7991/Senkkopfschrauben-M3x12-mit-Innensechskant-DIN-7991-Edelstahl-A2" TargetMode="External"/><Relationship Id="rId25" Type="http://schemas.openxmlformats.org/officeDocument/2006/relationships/hyperlink" Target="https://alleschrauben.de/Schrauben/Senkkopf/Senkkopfschrauben-DIN-7991/Senkkopfschrauben-M4x10-mit-Innensechskant-DIN-7991-Edelstahl-A2" TargetMode="External"/><Relationship Id="rId26" Type="http://schemas.openxmlformats.org/officeDocument/2006/relationships/hyperlink" Target="https://www.reichelt.de/de/de/shop/produkt/flach-senkkopfschrauben_kreuzschlitz_pzd_m4_10_mm_50_stueck-65750" TargetMode="External"/><Relationship Id="rId27" Type="http://schemas.openxmlformats.org/officeDocument/2006/relationships/hyperlink" Target="https://alleschrauben.de/Schrauben/Senkkopf/Senkkopfschrauben-DIN-7991/Senkkopfschrauben-M5x12-mit-Innensechskant-DIN-7991-Edelstahl-A2" TargetMode="External"/><Relationship Id="rId28" Type="http://schemas.openxmlformats.org/officeDocument/2006/relationships/hyperlink" Target="https://www.berrybase.de/fix-fasten-selbstklebender-fuss-rund-oben-9-5mm-unten-10mm-hoehe-4-5mm-gummi-schwarz" TargetMode="External"/><Relationship Id="rId29" Type="http://schemas.openxmlformats.org/officeDocument/2006/relationships/hyperlink" Target="https://www.amazon.de/dp/B09LDCTQGY" TargetMode="External"/><Relationship Id="rId30" Type="http://schemas.openxmlformats.org/officeDocument/2006/relationships/hyperlink" Target="https://www.amazon.de/dp/B0GVNMS4DZ" TargetMode="External"/><Relationship Id="rId31" Type="http://schemas.openxmlformats.org/officeDocument/2006/relationships/hyperlink" Target="https://www.reichelt.de/de/de/shop/produkt/widerstand_metallschicht_100_kohm_0207_0_6_w_1_-11458" TargetMode="External"/><Relationship Id="rId32" Type="http://schemas.openxmlformats.org/officeDocument/2006/relationships/hyperlink" Target="https://www.berrybase.de/metallschichtwiderstand-100-0-kohm-1-4w-1-0207-axial-durchsteckmontage" TargetMode="External"/><Relationship Id="rId33" Type="http://schemas.openxmlformats.org/officeDocument/2006/relationships/hyperlink" Target="https://www.berrybase.de/metallschichtwiderstand-10-0-kohm-1-4w-1-0207-axial-durchsteckmontage" TargetMode="External"/><Relationship Id="rId34" Type="http://schemas.openxmlformats.org/officeDocument/2006/relationships/hyperlink" Target="https://www.berrybase.de/vierlingslitze-isoliert-4x0-14mm-5m-farbe-blau-gelb-rot-gruen" TargetMode="External"/><Relationship Id="rId35" Type="http://schemas.openxmlformats.org/officeDocument/2006/relationships/hyperlink" Target="https://www.berrybase.de/vierlingslitze-isoliert-4x0-25mm-fuer-rgb-led-stripes-5m" TargetMode="External"/><Relationship Id="rId36" Type="http://schemas.openxmlformats.org/officeDocument/2006/relationships/hyperlink" Target="https://de.aliexpress.com/item/1005008607415668.html" TargetMode="External"/><Relationship Id="rId37" Type="http://schemas.openxmlformats.org/officeDocument/2006/relationships/hyperlink" Target="https://de.aliexpress.com/item/4001171710583.html" TargetMode="External"/><Relationship Id="rId38" Type="http://schemas.openxmlformats.org/officeDocument/2006/relationships/hyperlink" Target="https://de.aliexpress.com/item/1005009886368149.html" TargetMode="External"/><Relationship Id="rId39" Type="http://schemas.openxmlformats.org/officeDocument/2006/relationships/hyperlink" Target="https://www.berrybase.de/schrumpfschlauch-set-100-teilig-in-sortimentsbox-schwarz" TargetMode="External"/><Relationship Id="rId40" Type="http://schemas.openxmlformats.org/officeDocument/2006/relationships/hyperlink" Target="https://www.berrybase.de/tesa-doppelseitiges-klebeband-10m-x-12mm-transparent-pp-traeger-loesungsmittelfrei" TargetMode="External"/><Relationship Id="rId41" Type="http://schemas.openxmlformats.org/officeDocument/2006/relationships/hyperlink" Target="https://www.berrybase.de/kabelbinder-uv-bestaendig-nylon-100-stueck/farbe-transparent/masse-100x2-5mm" TargetMode="External"/><Relationship Id="rId42" Type="http://schemas.openxmlformats.org/officeDocument/2006/relationships/hyperlink" Target="https://www.berrybase.de/verlaengerungskabel-2-pin-jst-ph-2.0mm-stecker-buchse-awg24-50cm" TargetMode="External"/><Relationship Id="rId43" Type="http://schemas.openxmlformats.org/officeDocument/2006/relationships/hyperlink" Target="https://www.amazon.de/dp/B0BTHSVQ89" TargetMode="External"/><Relationship Id="rId44" Type="http://schemas.openxmlformats.org/officeDocument/2006/relationships/hyperlink" Target="https://www.amazon.de/dp/B01EV70C78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de/dp/B0G1N16Q16" TargetMode="External"/><Relationship Id="rId2" Type="http://schemas.openxmlformats.org/officeDocument/2006/relationships/hyperlink" Target="https://www.amazon.de/dp/B0B9H3YMT2" TargetMode="External"/><Relationship Id="rId3" Type="http://schemas.openxmlformats.org/officeDocument/2006/relationships/hyperlink" Target="https://www.amazon.de/dp/B0H41MCVSW" TargetMode="External"/><Relationship Id="rId4" Type="http://schemas.openxmlformats.org/officeDocument/2006/relationships/hyperlink" Target="https://www.amazon.de/dp/B0DG8B58PM" TargetMode="External"/><Relationship Id="rId5" Type="http://schemas.openxmlformats.org/officeDocument/2006/relationships/hyperlink" Target="https://www.amazon.de/dp/B08214DJLJ" TargetMode="External"/><Relationship Id="rId6" Type="http://schemas.openxmlformats.org/officeDocument/2006/relationships/hyperlink" Target="https://www.amazon.de/dp/B0F67KYB4F" TargetMode="External"/><Relationship Id="rId7" Type="http://schemas.openxmlformats.org/officeDocument/2006/relationships/hyperlink" Target="https://www.amazon.de/dp/B0GVNMS4DZ" TargetMode="External"/><Relationship Id="rId8" Type="http://schemas.openxmlformats.org/officeDocument/2006/relationships/hyperlink" Target="https://www.berrybase.de/regensensor-mit-digitalem-und-analogem-ausgang" TargetMode="External"/><Relationship Id="rId9" Type="http://schemas.openxmlformats.org/officeDocument/2006/relationships/hyperlink" Target="https://www.berrybase.de/pololu-s13v10f5-5v-1a-step-up-step-down-converter" TargetMode="External"/><Relationship Id="rId10" Type="http://schemas.openxmlformats.org/officeDocument/2006/relationships/hyperlink" Target="https://www.berrybase.de/fix-fasten-selbstklebender-fuss-rund-oben-9-5mm-unten-10mm-hoehe-4-5mm-gummi-schwarz" TargetMode="External"/><Relationship Id="rId11" Type="http://schemas.openxmlformats.org/officeDocument/2006/relationships/hyperlink" Target="https://www.berrybase.de/metallschichtwiderstand-10-0-kohm-1-4w-1-0207-axial-durchsteckmontage" TargetMode="External"/><Relationship Id="rId12" Type="http://schemas.openxmlformats.org/officeDocument/2006/relationships/hyperlink" Target="https://www.berrybase.de/vierlingslitze-isoliert-4x0-14mm-5m-farbe-blau-gelb-rot-gruen" TargetMode="External"/><Relationship Id="rId13" Type="http://schemas.openxmlformats.org/officeDocument/2006/relationships/hyperlink" Target="https://www.berrybase.de/schrumpfschlauch-set-100-teilig-in-sortimentsbox-schwarz" TargetMode="External"/><Relationship Id="rId14" Type="http://schemas.openxmlformats.org/officeDocument/2006/relationships/hyperlink" Target="https://www.berrybase.de/tesa-doppelseitiges-klebeband-10m-x-12mm-transparent-pp-traeger-loesungsmittelfrei" TargetMode="External"/><Relationship Id="rId15" Type="http://schemas.openxmlformats.org/officeDocument/2006/relationships/hyperlink" Target="https://www.berrybase.de/kabelbinder-uv-bestaendig-nylon-100-stueck/farbe-transparent/masse-100x2-5mm" TargetMode="External"/><Relationship Id="rId16" Type="http://schemas.openxmlformats.org/officeDocument/2006/relationships/hyperlink" Target="https://alleschrauben.de/Schrauben/Senkkopf/Senkkopfschrauben-DIN-7991/Senkkopfschrauben-M3x12-mit-Innensechskant-DIN-7991-Edelstahl-A2" TargetMode="External"/><Relationship Id="rId17" Type="http://schemas.openxmlformats.org/officeDocument/2006/relationships/hyperlink" Target="https://alleschrauben.de/Schrauben/Senkkopf/Senkkopfschrauben-DIN-7991/Senkkopfschrauben-M4x10-mit-Innensechskant-DIN-7991-Edelstahl-A2" TargetMode="External"/><Relationship Id="rId18" Type="http://schemas.openxmlformats.org/officeDocument/2006/relationships/hyperlink" Target="https://alleschrauben.de/Schrauben/Senkkopf/Senkkopfschrauben-DIN-7991/Senkkopfschrauben-M5x12-mit-Innensechskant-DIN-7991-Edelstahl-A2" TargetMode="External"/><Relationship Id="rId19" Type="http://schemas.openxmlformats.org/officeDocument/2006/relationships/hyperlink" Target="https://de.aliexpress.com/item/1005009535167188.html" TargetMode="External"/><Relationship Id="rId20" Type="http://schemas.openxmlformats.org/officeDocument/2006/relationships/hyperlink" Target="https://de.aliexpress.com/item/1005009230467552.html" TargetMode="External"/><Relationship Id="rId21" Type="http://schemas.openxmlformats.org/officeDocument/2006/relationships/hyperlink" Target="https://de.aliexpress.com/item/1005006422072860.html" TargetMode="External"/><Relationship Id="rId22" Type="http://schemas.openxmlformats.org/officeDocument/2006/relationships/hyperlink" Target="https://de.aliexpress.com/item/1005013255677257.html" TargetMode="External"/><Relationship Id="rId23" Type="http://schemas.openxmlformats.org/officeDocument/2006/relationships/hyperlink" Target="https://de.aliexpress.com/item/1005009806778521.html" TargetMode="External"/><Relationship Id="rId24" Type="http://schemas.openxmlformats.org/officeDocument/2006/relationships/hyperlink" Target="https://de.aliexpress.com/item/1005008607415668.html" TargetMode="External"/><Relationship Id="rId25" Type="http://schemas.openxmlformats.org/officeDocument/2006/relationships/hyperlink" Target="https://de.aliexpress.com/item/4001171710583.html" TargetMode="External"/><Relationship Id="rId26" Type="http://schemas.openxmlformats.org/officeDocument/2006/relationships/hyperlink" Target="https://de.aliexpress.com/item/1005009886368149.html" TargetMode="External"/><Relationship Id="rId27" Type="http://schemas.openxmlformats.org/officeDocument/2006/relationships/hyperlink" Target="https://www.amazon.de/dp/B0DG8B58PM" TargetMode="External"/><Relationship Id="rId28" Type="http://schemas.openxmlformats.org/officeDocument/2006/relationships/hyperlink" Target="https://www.amazon.de/dp/B08214DJLJ" TargetMode="External"/><Relationship Id="rId29" Type="http://schemas.openxmlformats.org/officeDocument/2006/relationships/hyperlink" Target="https://www.amazon.de/dp/B0GVNMS4DZ" TargetMode="External"/><Relationship Id="rId30" Type="http://schemas.openxmlformats.org/officeDocument/2006/relationships/hyperlink" Target="https://www.berrybase.de/regensensor-mit-digitalem-und-analogem-ausgang" TargetMode="External"/><Relationship Id="rId31" Type="http://schemas.openxmlformats.org/officeDocument/2006/relationships/hyperlink" Target="https://www.berrybase.de/fix-fasten-selbstklebender-fuss-rund-oben-9-5mm-unten-10mm-hoehe-4-5mm-gummi-schwarz" TargetMode="External"/><Relationship Id="rId32" Type="http://schemas.openxmlformats.org/officeDocument/2006/relationships/hyperlink" Target="https://www.berrybase.de/metallschichtwiderstand-10-0-kohm-1-4w-1-0207-axial-durchsteckmontage" TargetMode="External"/><Relationship Id="rId33" Type="http://schemas.openxmlformats.org/officeDocument/2006/relationships/hyperlink" Target="https://www.berrybase.de/schrumpfschlauch-set-100-teilig-in-sortimentsbox-schwarz" TargetMode="External"/><Relationship Id="rId34" Type="http://schemas.openxmlformats.org/officeDocument/2006/relationships/hyperlink" Target="https://www.berrybase.de/tesa-doppelseitiges-klebeband-10m-x-12mm-transparent-pp-traeger-loesungsmittelfrei" TargetMode="External"/><Relationship Id="rId35" Type="http://schemas.openxmlformats.org/officeDocument/2006/relationships/hyperlink" Target="https://www.berrybase.de/kabelbinder-uv-bestaendig-nylon-100-stueck/farbe-transparent/masse-100x2-5mm" TargetMode="External"/><Relationship Id="rId36" Type="http://schemas.openxmlformats.org/officeDocument/2006/relationships/hyperlink" Target="https://alleschrauben.de/Schrauben/Senkkopf/Senkkopfschrauben-DIN-7991/Senkkopfschrauben-M3x12-mit-Innensechskant-DIN-7991-Edelstahl-A2" TargetMode="External"/><Relationship Id="rId37" Type="http://schemas.openxmlformats.org/officeDocument/2006/relationships/hyperlink" Target="https://alleschrauben.de/Schrauben/Senkkopf/Senkkopfschrauben-DIN-7991/Senkkopfschrauben-M4x10-mit-Innensechskant-DIN-7991-Edelstahl-A2" TargetMode="External"/><Relationship Id="rId38" Type="http://schemas.openxmlformats.org/officeDocument/2006/relationships/hyperlink" Target="https://alleschrauben.de/Schrauben/Senkkopf/Senkkopfschrauben-DIN-7991/Senkkopfschrauben-M5x12-mit-Innensechskant-DIN-7991-Edelstahl-A2" TargetMode="External"/><Relationship Id="rId39" Type="http://schemas.openxmlformats.org/officeDocument/2006/relationships/hyperlink" Target="https://www.berrybase.de/verlaengerungskabel-2-pin-jst-ph-2.0mm-stecker-buchse-awg24-50cm" TargetMode="External"/><Relationship Id="rId40" Type="http://schemas.openxmlformats.org/officeDocument/2006/relationships/hyperlink" Target="https://www.amazon.de/dp/B0BTHSVQ89" TargetMode="External"/><Relationship Id="rId41" Type="http://schemas.openxmlformats.org/officeDocument/2006/relationships/hyperlink" Target="https://www.amazon.de/dp/B01EV70C78" TargetMode="External"/><Relationship Id="rId42" Type="http://schemas.openxmlformats.org/officeDocument/2006/relationships/hyperlink" Target="https://www.berrybase.de/pololu-s13v20f5-5v-2a-step-up-step-down-spannungsregler" TargetMode="External"/><Relationship Id="rId43" Type="http://schemas.openxmlformats.org/officeDocument/2006/relationships/hyperlink" Target="https://www.reichelt.de/de/de/shop/produkt/widerstand_metallschicht_100_kohm_0207_0_6_w_1_-1145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8"/>
    <col collapsed="false" customWidth="true" hidden="false" outlineLevel="0" max="3" min="3" style="1" width="10"/>
    <col collapsed="false" customWidth="true" hidden="false" outlineLevel="0" max="4" min="4" style="1" width="8"/>
    <col collapsed="false" customWidth="true" hidden="false" outlineLevel="0" max="5" min="5" style="1" width="70"/>
    <col collapsed="false" customWidth="true" hidden="false" outlineLevel="0" max="6" min="6" style="1" width="12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27.75" hidden="false" customHeight="true" outlineLevel="0" collapsed="false">
      <c r="A2" s="3" t="n">
        <v>1</v>
      </c>
      <c r="B2" s="3" t="s">
        <v>6</v>
      </c>
      <c r="C2" s="3" t="n">
        <v>1</v>
      </c>
      <c r="D2" s="3" t="s">
        <v>7</v>
      </c>
      <c r="E2" s="3" t="s">
        <v>8</v>
      </c>
      <c r="F2" s="3" t="s">
        <v>9</v>
      </c>
    </row>
    <row r="3" customFormat="false" ht="27.75" hidden="false" customHeight="true" outlineLevel="0" collapsed="false">
      <c r="A3" s="3" t="n">
        <v>2</v>
      </c>
      <c r="B3" s="3" t="s">
        <v>10</v>
      </c>
      <c r="C3" s="3" t="n">
        <v>1</v>
      </c>
      <c r="D3" s="3" t="s">
        <v>11</v>
      </c>
      <c r="E3" s="3" t="s">
        <v>12</v>
      </c>
      <c r="F3" s="3" t="s">
        <v>9</v>
      </c>
    </row>
    <row r="4" customFormat="false" ht="15" hidden="false" customHeight="true" outlineLevel="0" collapsed="false">
      <c r="A4" s="3" t="n">
        <v>3</v>
      </c>
      <c r="B4" s="3" t="s">
        <v>13</v>
      </c>
      <c r="C4" s="3" t="n">
        <v>26</v>
      </c>
      <c r="D4" s="3" t="s">
        <v>14</v>
      </c>
      <c r="E4" s="3" t="s">
        <v>15</v>
      </c>
      <c r="F4" s="3" t="s">
        <v>9</v>
      </c>
    </row>
    <row r="5" customFormat="false" ht="15" hidden="false" customHeight="true" outlineLevel="0" collapsed="false">
      <c r="A5" s="3" t="n">
        <v>4</v>
      </c>
      <c r="B5" s="3" t="s">
        <v>16</v>
      </c>
      <c r="C5" s="3" t="n">
        <v>1</v>
      </c>
      <c r="D5" s="3" t="s">
        <v>11</v>
      </c>
      <c r="E5" s="3" t="s">
        <v>17</v>
      </c>
      <c r="F5" s="3" t="s">
        <v>9</v>
      </c>
    </row>
    <row r="6" customFormat="false" ht="27.75" hidden="false" customHeight="true" outlineLevel="0" collapsed="false">
      <c r="A6" s="3" t="n">
        <v>5</v>
      </c>
      <c r="B6" s="3" t="s">
        <v>18</v>
      </c>
      <c r="C6" s="3" t="n">
        <v>2</v>
      </c>
      <c r="D6" s="3" t="s">
        <v>7</v>
      </c>
      <c r="E6" s="3" t="s">
        <v>19</v>
      </c>
      <c r="F6" s="3" t="s">
        <v>9</v>
      </c>
    </row>
    <row r="7" customFormat="false" ht="15" hidden="false" customHeight="true" outlineLevel="0" collapsed="false">
      <c r="A7" s="3" t="n">
        <v>6</v>
      </c>
      <c r="B7" s="3" t="s">
        <v>20</v>
      </c>
      <c r="C7" s="3" t="n">
        <v>1</v>
      </c>
      <c r="D7" s="3" t="s">
        <v>7</v>
      </c>
      <c r="E7" s="3" t="s">
        <v>21</v>
      </c>
      <c r="F7" s="3" t="s">
        <v>9</v>
      </c>
    </row>
    <row r="8" customFormat="false" ht="15" hidden="false" customHeight="true" outlineLevel="0" collapsed="false">
      <c r="A8" s="3" t="n">
        <v>7</v>
      </c>
      <c r="B8" s="3" t="s">
        <v>22</v>
      </c>
      <c r="C8" s="3" t="n">
        <v>1</v>
      </c>
      <c r="D8" s="3" t="s">
        <v>7</v>
      </c>
      <c r="E8" s="3" t="s">
        <v>23</v>
      </c>
      <c r="F8" s="3" t="s">
        <v>9</v>
      </c>
    </row>
    <row r="9" customFormat="false" ht="15" hidden="false" customHeight="true" outlineLevel="0" collapsed="false">
      <c r="A9" s="3" t="n">
        <v>8</v>
      </c>
      <c r="B9" s="3" t="s">
        <v>24</v>
      </c>
      <c r="C9" s="3" t="n">
        <v>1</v>
      </c>
      <c r="D9" s="3" t="s">
        <v>7</v>
      </c>
      <c r="E9" s="3" t="s">
        <v>25</v>
      </c>
      <c r="F9" s="3" t="s">
        <v>9</v>
      </c>
    </row>
    <row r="10" customFormat="false" ht="15" hidden="false" customHeight="true" outlineLevel="0" collapsed="false">
      <c r="A10" s="3" t="n">
        <v>9</v>
      </c>
      <c r="B10" s="3" t="s">
        <v>26</v>
      </c>
      <c r="C10" s="3" t="n">
        <v>8</v>
      </c>
      <c r="D10" s="3" t="s">
        <v>7</v>
      </c>
      <c r="E10" s="3" t="s">
        <v>27</v>
      </c>
      <c r="F10" s="3" t="s">
        <v>9</v>
      </c>
    </row>
    <row r="11" customFormat="false" ht="15" hidden="false" customHeight="true" outlineLevel="0" collapsed="false">
      <c r="A11" s="3" t="n">
        <v>10</v>
      </c>
      <c r="B11" s="3" t="s">
        <v>28</v>
      </c>
      <c r="C11" s="3" t="n">
        <v>2</v>
      </c>
      <c r="D11" s="3" t="s">
        <v>7</v>
      </c>
      <c r="E11" s="3" t="s">
        <v>29</v>
      </c>
      <c r="F11" s="3" t="s">
        <v>9</v>
      </c>
    </row>
    <row r="12" customFormat="false" ht="15" hidden="false" customHeight="true" outlineLevel="0" collapsed="false">
      <c r="A12" s="3" t="n">
        <v>11</v>
      </c>
      <c r="B12" s="3" t="s">
        <v>30</v>
      </c>
      <c r="C12" s="3" t="n">
        <v>2</v>
      </c>
      <c r="D12" s="3" t="s">
        <v>7</v>
      </c>
      <c r="E12" s="3" t="s">
        <v>31</v>
      </c>
      <c r="F12" s="3" t="s">
        <v>9</v>
      </c>
    </row>
    <row r="13" customFormat="false" ht="15" hidden="false" customHeight="true" outlineLevel="0" collapsed="false">
      <c r="A13" s="3" t="n">
        <v>12</v>
      </c>
      <c r="B13" s="3" t="s">
        <v>32</v>
      </c>
      <c r="C13" s="3" t="n">
        <v>4</v>
      </c>
      <c r="D13" s="3" t="s">
        <v>7</v>
      </c>
      <c r="E13" s="3" t="s">
        <v>33</v>
      </c>
      <c r="F13" s="3" t="s">
        <v>9</v>
      </c>
    </row>
    <row r="14" customFormat="false" ht="15" hidden="false" customHeight="true" outlineLevel="0" collapsed="false">
      <c r="A14" s="3" t="n">
        <v>13</v>
      </c>
      <c r="B14" s="3" t="s">
        <v>34</v>
      </c>
      <c r="C14" s="3" t="n">
        <v>1</v>
      </c>
      <c r="D14" s="3" t="s">
        <v>7</v>
      </c>
      <c r="E14" s="3" t="s">
        <v>35</v>
      </c>
      <c r="F14" s="3" t="s">
        <v>9</v>
      </c>
    </row>
    <row r="15" customFormat="false" ht="15" hidden="false" customHeight="true" outlineLevel="0" collapsed="false">
      <c r="A15" s="3" t="n">
        <v>14</v>
      </c>
      <c r="B15" s="3" t="s">
        <v>36</v>
      </c>
      <c r="C15" s="3" t="n">
        <v>2</v>
      </c>
      <c r="D15" s="3" t="s">
        <v>7</v>
      </c>
      <c r="E15" s="3" t="s">
        <v>37</v>
      </c>
      <c r="F15" s="3" t="s">
        <v>9</v>
      </c>
    </row>
    <row r="16" customFormat="false" ht="15" hidden="false" customHeight="true" outlineLevel="0" collapsed="false">
      <c r="A16" s="3" t="n">
        <v>15</v>
      </c>
      <c r="B16" s="3" t="s">
        <v>38</v>
      </c>
      <c r="C16" s="3" t="n">
        <v>1</v>
      </c>
      <c r="D16" s="3" t="s">
        <v>11</v>
      </c>
      <c r="E16" s="3" t="s">
        <v>39</v>
      </c>
      <c r="F16" s="3" t="s">
        <v>9</v>
      </c>
    </row>
    <row r="17" customFormat="false" ht="15" hidden="false" customHeight="true" outlineLevel="0" collapsed="false">
      <c r="A17" s="3" t="n">
        <v>16</v>
      </c>
      <c r="B17" s="3" t="s">
        <v>40</v>
      </c>
      <c r="C17" s="3" t="n">
        <v>2</v>
      </c>
      <c r="D17" s="3" t="s">
        <v>7</v>
      </c>
      <c r="E17" s="3" t="s">
        <v>41</v>
      </c>
      <c r="F17" s="3" t="s">
        <v>42</v>
      </c>
    </row>
    <row r="18" customFormat="false" ht="15" hidden="false" customHeight="true" outlineLevel="0" collapsed="false">
      <c r="A18" s="3" t="n">
        <v>17</v>
      </c>
      <c r="B18" s="3" t="s">
        <v>43</v>
      </c>
      <c r="C18" s="3" t="n">
        <v>1</v>
      </c>
      <c r="D18" s="3" t="s">
        <v>7</v>
      </c>
      <c r="E18" s="3" t="s">
        <v>44</v>
      </c>
      <c r="F18" s="3" t="s">
        <v>42</v>
      </c>
    </row>
    <row r="19" customFormat="false" ht="15" hidden="false" customHeight="true" outlineLevel="0" collapsed="false">
      <c r="A19" s="3" t="n">
        <v>18</v>
      </c>
      <c r="B19" s="3" t="s">
        <v>45</v>
      </c>
      <c r="C19" s="3" t="n">
        <v>1</v>
      </c>
      <c r="D19" s="3" t="s">
        <v>11</v>
      </c>
      <c r="E19" s="3" t="s">
        <v>46</v>
      </c>
      <c r="F19" s="3" t="s">
        <v>9</v>
      </c>
    </row>
    <row r="20" customFormat="false" ht="15" hidden="false" customHeight="true" outlineLevel="0" collapsed="false">
      <c r="A20" s="3" t="n">
        <v>19</v>
      </c>
      <c r="B20" s="3" t="s">
        <v>47</v>
      </c>
      <c r="C20" s="3" t="n">
        <v>1</v>
      </c>
      <c r="D20" s="3" t="s">
        <v>48</v>
      </c>
      <c r="E20" s="3" t="s">
        <v>49</v>
      </c>
      <c r="F20" s="3" t="s">
        <v>9</v>
      </c>
    </row>
    <row r="21" customFormat="false" ht="15" hidden="false" customHeight="true" outlineLevel="0" collapsed="false">
      <c r="A21" s="3" t="n">
        <v>20</v>
      </c>
      <c r="B21" s="3" t="s">
        <v>50</v>
      </c>
      <c r="C21" s="3" t="n">
        <v>1</v>
      </c>
      <c r="D21" s="3" t="s">
        <v>51</v>
      </c>
      <c r="E21" s="3" t="s">
        <v>52</v>
      </c>
      <c r="F21" s="3" t="s">
        <v>9</v>
      </c>
    </row>
    <row r="22" customFormat="false" ht="15" hidden="false" customHeight="true" outlineLevel="0" collapsed="false">
      <c r="A22" s="3" t="n">
        <v>21</v>
      </c>
      <c r="B22" s="3" t="s">
        <v>53</v>
      </c>
      <c r="C22" s="3" t="n">
        <v>1</v>
      </c>
      <c r="D22" s="3" t="s">
        <v>7</v>
      </c>
      <c r="E22" s="3" t="s">
        <v>54</v>
      </c>
      <c r="F22" s="3" t="s">
        <v>55</v>
      </c>
    </row>
    <row r="23" customFormat="false" ht="15" hidden="false" customHeight="true" outlineLevel="0" collapsed="false">
      <c r="A23" s="3" t="n">
        <v>22</v>
      </c>
      <c r="B23" s="3" t="s">
        <v>56</v>
      </c>
      <c r="C23" s="3" t="n">
        <v>128</v>
      </c>
      <c r="D23" s="3" t="s">
        <v>57</v>
      </c>
      <c r="E23" s="3" t="s">
        <v>58</v>
      </c>
      <c r="F23" s="3" t="s">
        <v>55</v>
      </c>
    </row>
    <row r="24" customFormat="false" ht="15" hidden="false" customHeight="true" outlineLevel="0" collapsed="false">
      <c r="A24" s="3" t="n">
        <v>23</v>
      </c>
      <c r="B24" s="3" t="s">
        <v>59</v>
      </c>
      <c r="C24" s="3" t="n">
        <v>1</v>
      </c>
      <c r="D24" s="3" t="s">
        <v>11</v>
      </c>
      <c r="E24" s="3" t="s">
        <v>60</v>
      </c>
      <c r="F24" s="3" t="s">
        <v>55</v>
      </c>
    </row>
    <row r="25" customFormat="false" ht="15" hidden="false" customHeight="true" outlineLevel="0" collapsed="false">
      <c r="A25" s="3" t="n">
        <v>24</v>
      </c>
      <c r="B25" s="3" t="s">
        <v>61</v>
      </c>
      <c r="C25" s="3" t="n">
        <v>1</v>
      </c>
      <c r="D25" s="3" t="s">
        <v>7</v>
      </c>
      <c r="E25" s="3" t="s">
        <v>62</v>
      </c>
      <c r="F25" s="3" t="s">
        <v>9</v>
      </c>
    </row>
    <row r="26" customFormat="false" ht="15" hidden="false" customHeight="true" outlineLevel="0" collapsed="false">
      <c r="A26" s="3" t="n">
        <v>25</v>
      </c>
      <c r="B26" s="3" t="s">
        <v>63</v>
      </c>
      <c r="C26" s="3" t="n">
        <v>1</v>
      </c>
      <c r="D26" s="3" t="s">
        <v>7</v>
      </c>
      <c r="E26" s="3" t="s">
        <v>64</v>
      </c>
      <c r="F26" s="3" t="s">
        <v>9</v>
      </c>
    </row>
    <row r="27" customFormat="false" ht="15" hidden="false" customHeight="true" outlineLevel="0" collapsed="false">
      <c r="A27" s="3" t="n">
        <v>26</v>
      </c>
      <c r="B27" s="3" t="s">
        <v>65</v>
      </c>
      <c r="C27" s="3" t="n">
        <v>1</v>
      </c>
      <c r="D27" s="3" t="s">
        <v>7</v>
      </c>
      <c r="E27" s="3" t="s">
        <v>66</v>
      </c>
      <c r="F27" s="3" t="s">
        <v>9</v>
      </c>
    </row>
    <row r="28" customFormat="false" ht="15" hidden="false" customHeight="true" outlineLevel="0" collapsed="false">
      <c r="A28" s="3" t="n">
        <v>27</v>
      </c>
      <c r="B28" s="3" t="s">
        <v>67</v>
      </c>
      <c r="C28" s="3" t="n">
        <v>2</v>
      </c>
      <c r="D28" s="3" t="s">
        <v>7</v>
      </c>
      <c r="E28" s="3" t="s">
        <v>68</v>
      </c>
      <c r="F28" s="3" t="s">
        <v>9</v>
      </c>
    </row>
    <row r="29" customFormat="false" ht="15" hidden="false" customHeight="true" outlineLevel="0" collapsed="false">
      <c r="A29" s="3" t="n">
        <v>28</v>
      </c>
      <c r="B29" s="3" t="s">
        <v>69</v>
      </c>
      <c r="C29" s="3" t="n">
        <v>1</v>
      </c>
      <c r="D29" s="3" t="s">
        <v>7</v>
      </c>
      <c r="E29" s="3" t="s">
        <v>70</v>
      </c>
      <c r="F29" s="3" t="s">
        <v>9</v>
      </c>
    </row>
    <row r="30" customFormat="false" ht="15" hidden="false" customHeight="true" outlineLevel="0" collapsed="false">
      <c r="A30" s="3" t="n">
        <v>29</v>
      </c>
      <c r="B30" s="3" t="s">
        <v>71</v>
      </c>
      <c r="C30" s="3" t="n">
        <v>2</v>
      </c>
      <c r="D30" s="3" t="s">
        <v>7</v>
      </c>
      <c r="E30" s="3" t="s">
        <v>72</v>
      </c>
      <c r="F30" s="3" t="s">
        <v>9</v>
      </c>
    </row>
    <row r="31" customFormat="false" ht="15" hidden="false" customHeight="true" outlineLevel="0" collapsed="false">
      <c r="A31" s="3" t="n">
        <v>30</v>
      </c>
      <c r="B31" s="3" t="s">
        <v>73</v>
      </c>
      <c r="C31" s="3" t="n">
        <v>1</v>
      </c>
      <c r="D31" s="3" t="s">
        <v>7</v>
      </c>
      <c r="E31" s="3" t="s">
        <v>74</v>
      </c>
      <c r="F31" s="3" t="s">
        <v>9</v>
      </c>
    </row>
    <row r="32" customFormat="false" ht="15" hidden="false" customHeight="true" outlineLevel="0" collapsed="false">
      <c r="A32" s="3" t="n">
        <v>31</v>
      </c>
      <c r="B32" s="3" t="s">
        <v>75</v>
      </c>
      <c r="C32" s="3" t="n">
        <v>1</v>
      </c>
      <c r="D32" s="3" t="s">
        <v>7</v>
      </c>
      <c r="E32" s="3" t="s">
        <v>76</v>
      </c>
      <c r="F32" s="3" t="s">
        <v>9</v>
      </c>
    </row>
    <row r="33" customFormat="false" ht="15" hidden="false" customHeight="true" outlineLevel="0" collapsed="false">
      <c r="A33" s="3" t="n">
        <v>32</v>
      </c>
      <c r="B33" s="3" t="s">
        <v>77</v>
      </c>
      <c r="C33" s="3" t="n">
        <v>1</v>
      </c>
      <c r="D33" s="3" t="s">
        <v>7</v>
      </c>
      <c r="E33" s="3" t="s">
        <v>78</v>
      </c>
      <c r="F33" s="3" t="s">
        <v>9</v>
      </c>
    </row>
    <row r="34" customFormat="false" ht="15" hidden="false" customHeight="true" outlineLevel="0" collapsed="false">
      <c r="A34" s="3" t="n">
        <v>33</v>
      </c>
      <c r="B34" s="3" t="s">
        <v>79</v>
      </c>
      <c r="C34" s="3" t="n">
        <v>1</v>
      </c>
      <c r="D34" s="3" t="s">
        <v>7</v>
      </c>
      <c r="E34" s="3" t="s">
        <v>80</v>
      </c>
      <c r="F34" s="3" t="s">
        <v>9</v>
      </c>
    </row>
    <row r="35" customFormat="false" ht="15" hidden="false" customHeight="true" outlineLevel="0" collapsed="false">
      <c r="A35" s="3" t="n">
        <v>34</v>
      </c>
      <c r="B35" s="3" t="s">
        <v>81</v>
      </c>
      <c r="C35" s="3" t="n">
        <v>2</v>
      </c>
      <c r="D35" s="3" t="s">
        <v>7</v>
      </c>
      <c r="E35" s="3" t="s">
        <v>82</v>
      </c>
      <c r="F35" s="3" t="s">
        <v>9</v>
      </c>
    </row>
    <row r="37" customFormat="false" ht="15" hidden="false" customHeight="true" outlineLevel="0" collapsed="false">
      <c r="A37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6"/>
    <col collapsed="false" customWidth="true" hidden="false" outlineLevel="0" max="4" min="4" style="1" width="42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8"/>
    <col collapsed="false" customWidth="true" hidden="false" outlineLevel="0" max="10" min="10" style="1" width="12"/>
    <col collapsed="false" customWidth="true" hidden="false" outlineLevel="0" max="11" min="11" style="1" width="26"/>
    <col collapsed="false" customWidth="true" hidden="false" outlineLevel="0" max="12" min="12" style="1" width="11"/>
    <col collapsed="false" customWidth="true" hidden="false" outlineLevel="0" max="13" min="13" style="1" width="45"/>
    <col collapsed="false" customWidth="true" hidden="false" outlineLevel="0" max="14" min="14" style="1" width="11"/>
    <col collapsed="false" customWidth="true" hidden="false" outlineLevel="0" max="15" min="15" style="1" width="50"/>
    <col collapsed="false" customWidth="true" hidden="false" outlineLevel="0" max="16" min="16" style="1" width="12"/>
  </cols>
  <sheetData>
    <row r="1" customFormat="false" ht="41.25" hidden="false" customHeight="true" outlineLevel="0" collapsed="false">
      <c r="A1" s="2" t="s">
        <v>0</v>
      </c>
      <c r="B1" s="2" t="s">
        <v>1</v>
      </c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  <c r="O1" s="2" t="s">
        <v>96</v>
      </c>
      <c r="P1" s="2" t="s">
        <v>97</v>
      </c>
    </row>
    <row r="2" customFormat="false" ht="27.75" hidden="false" customHeight="true" outlineLevel="0" collapsed="false">
      <c r="A2" s="3" t="n">
        <v>1</v>
      </c>
      <c r="B2" s="3" t="s">
        <v>98</v>
      </c>
      <c r="C2" s="3" t="s">
        <v>99</v>
      </c>
      <c r="D2" s="3" t="s">
        <v>100</v>
      </c>
      <c r="E2" s="3" t="s">
        <v>101</v>
      </c>
      <c r="F2" s="3" t="n">
        <v>1</v>
      </c>
      <c r="G2" s="4" t="n">
        <v>17.99</v>
      </c>
      <c r="H2" s="5" t="n">
        <f aca="false">G2/F2</f>
        <v>17.99</v>
      </c>
      <c r="I2" s="3" t="n">
        <v>1</v>
      </c>
      <c r="J2" s="4" t="n">
        <f aca="false">ROUNDUP(I2/F2,0)*G2</f>
        <v>17.99</v>
      </c>
      <c r="K2" s="3" t="s">
        <v>102</v>
      </c>
      <c r="L2" s="3" t="s">
        <v>103</v>
      </c>
      <c r="M2" s="6" t="s">
        <v>104</v>
      </c>
      <c r="N2" s="3" t="s">
        <v>105</v>
      </c>
      <c r="O2" s="3" t="s">
        <v>106</v>
      </c>
      <c r="P2" s="3"/>
    </row>
    <row r="3" customFormat="false" ht="27.75" hidden="false" customHeight="true" outlineLevel="0" collapsed="false">
      <c r="A3" s="7" t="n">
        <v>1</v>
      </c>
      <c r="B3" s="7" t="s">
        <v>98</v>
      </c>
      <c r="C3" s="7" t="s">
        <v>107</v>
      </c>
      <c r="D3" s="7" t="s">
        <v>108</v>
      </c>
      <c r="E3" s="7" t="s">
        <v>101</v>
      </c>
      <c r="F3" s="7" t="n">
        <v>1</v>
      </c>
      <c r="G3" s="8" t="n">
        <v>15.39</v>
      </c>
      <c r="H3" s="9" t="n">
        <f aca="false">G3/F3</f>
        <v>15.39</v>
      </c>
      <c r="I3" s="7" t="n">
        <v>1</v>
      </c>
      <c r="J3" s="8" t="n">
        <f aca="false">ROUNDUP(I3/F3,0)*G3</f>
        <v>15.39</v>
      </c>
      <c r="K3" s="7" t="s">
        <v>109</v>
      </c>
      <c r="L3" s="7" t="s">
        <v>110</v>
      </c>
      <c r="M3" s="10" t="s">
        <v>111</v>
      </c>
      <c r="N3" s="7" t="s">
        <v>105</v>
      </c>
      <c r="O3" s="7" t="s">
        <v>112</v>
      </c>
      <c r="P3" s="7" t="s">
        <v>113</v>
      </c>
    </row>
    <row r="4" customFormat="false" ht="27.75" hidden="false" customHeight="true" outlineLevel="0" collapsed="false">
      <c r="A4" s="3" t="n">
        <v>1</v>
      </c>
      <c r="B4" s="3" t="s">
        <v>98</v>
      </c>
      <c r="C4" s="3" t="s">
        <v>107</v>
      </c>
      <c r="D4" s="3" t="s">
        <v>114</v>
      </c>
      <c r="E4" s="3" t="s">
        <v>101</v>
      </c>
      <c r="F4" s="3" t="n">
        <v>1</v>
      </c>
      <c r="G4" s="4" t="n">
        <v>17.89</v>
      </c>
      <c r="H4" s="5" t="n">
        <f aca="false">G4/F4</f>
        <v>17.89</v>
      </c>
      <c r="I4" s="3" t="n">
        <v>1</v>
      </c>
      <c r="J4" s="4" t="n">
        <f aca="false">ROUNDUP(I4/F4,0)*G4</f>
        <v>17.89</v>
      </c>
      <c r="K4" s="3" t="s">
        <v>115</v>
      </c>
      <c r="L4" s="3" t="s">
        <v>110</v>
      </c>
      <c r="M4" s="6" t="s">
        <v>116</v>
      </c>
      <c r="N4" s="3" t="s">
        <v>105</v>
      </c>
      <c r="O4" s="3" t="s">
        <v>117</v>
      </c>
      <c r="P4" s="3"/>
    </row>
    <row r="5" customFormat="false" ht="41.25" hidden="false" customHeight="true" outlineLevel="0" collapsed="false">
      <c r="A5" s="11" t="n">
        <v>1</v>
      </c>
      <c r="B5" s="11" t="s">
        <v>98</v>
      </c>
      <c r="C5" s="11" t="s">
        <v>118</v>
      </c>
      <c r="D5" s="11" t="s">
        <v>119</v>
      </c>
      <c r="E5" s="11" t="s">
        <v>119</v>
      </c>
      <c r="F5" s="11" t="n">
        <v>1</v>
      </c>
      <c r="G5" s="11" t="s">
        <v>119</v>
      </c>
      <c r="H5" s="11"/>
      <c r="I5" s="11" t="n">
        <v>1</v>
      </c>
      <c r="J5" s="11"/>
      <c r="K5" s="11" t="s">
        <v>119</v>
      </c>
      <c r="L5" s="11" t="s">
        <v>119</v>
      </c>
      <c r="M5" s="11"/>
      <c r="N5" s="11" t="s">
        <v>105</v>
      </c>
      <c r="O5" s="11" t="s">
        <v>120</v>
      </c>
      <c r="P5" s="11"/>
    </row>
    <row r="6" customFormat="false" ht="27.75" hidden="false" customHeight="true" outlineLevel="0" collapsed="false">
      <c r="A6" s="3" t="n">
        <v>2</v>
      </c>
      <c r="B6" s="3" t="s">
        <v>121</v>
      </c>
      <c r="C6" s="3" t="s">
        <v>99</v>
      </c>
      <c r="D6" s="3" t="s">
        <v>122</v>
      </c>
      <c r="E6" s="3" t="s">
        <v>123</v>
      </c>
      <c r="F6" s="3" t="n">
        <v>1</v>
      </c>
      <c r="G6" s="4" t="n">
        <v>8.97</v>
      </c>
      <c r="H6" s="5" t="n">
        <f aca="false">G6/F6</f>
        <v>8.97</v>
      </c>
      <c r="I6" s="3" t="n">
        <v>1</v>
      </c>
      <c r="J6" s="4" t="n">
        <f aca="false">ROUNDUP(I6/F6,0)*G6</f>
        <v>8.97</v>
      </c>
      <c r="K6" s="3" t="s">
        <v>102</v>
      </c>
      <c r="L6" s="3" t="s">
        <v>103</v>
      </c>
      <c r="M6" s="6" t="s">
        <v>124</v>
      </c>
      <c r="N6" s="3" t="s">
        <v>105</v>
      </c>
      <c r="O6" s="3" t="s">
        <v>125</v>
      </c>
      <c r="P6" s="3"/>
    </row>
    <row r="7" customFormat="false" ht="27.75" hidden="false" customHeight="true" outlineLevel="0" collapsed="false">
      <c r="A7" s="7" t="n">
        <v>2</v>
      </c>
      <c r="B7" s="7" t="s">
        <v>121</v>
      </c>
      <c r="C7" s="7" t="s">
        <v>107</v>
      </c>
      <c r="D7" s="7" t="s">
        <v>126</v>
      </c>
      <c r="E7" s="7" t="s">
        <v>123</v>
      </c>
      <c r="F7" s="7" t="n">
        <v>1</v>
      </c>
      <c r="G7" s="8" t="n">
        <v>4.89</v>
      </c>
      <c r="H7" s="9" t="n">
        <f aca="false">G7/F7</f>
        <v>4.89</v>
      </c>
      <c r="I7" s="7" t="n">
        <v>1</v>
      </c>
      <c r="J7" s="8" t="n">
        <f aca="false">ROUNDUP(I7/F7,0)*G7</f>
        <v>4.89</v>
      </c>
      <c r="K7" s="7" t="s">
        <v>127</v>
      </c>
      <c r="L7" s="7" t="s">
        <v>110</v>
      </c>
      <c r="M7" s="10" t="s">
        <v>128</v>
      </c>
      <c r="N7" s="7" t="s">
        <v>105</v>
      </c>
      <c r="O7" s="7" t="s">
        <v>129</v>
      </c>
      <c r="P7" s="7" t="s">
        <v>113</v>
      </c>
    </row>
    <row r="8" customFormat="false" ht="15" hidden="false" customHeight="true" outlineLevel="0" collapsed="false">
      <c r="A8" s="11" t="n">
        <v>2</v>
      </c>
      <c r="B8" s="11" t="s">
        <v>121</v>
      </c>
      <c r="C8" s="11" t="s">
        <v>130</v>
      </c>
      <c r="D8" s="11" t="s">
        <v>131</v>
      </c>
      <c r="E8" s="11" t="s">
        <v>132</v>
      </c>
      <c r="F8" s="11" t="n">
        <v>1</v>
      </c>
      <c r="G8" s="11" t="s">
        <v>119</v>
      </c>
      <c r="H8" s="11"/>
      <c r="I8" s="11" t="n">
        <v>1</v>
      </c>
      <c r="J8" s="11"/>
      <c r="K8" s="11" t="s">
        <v>133</v>
      </c>
      <c r="L8" s="11" t="s">
        <v>119</v>
      </c>
      <c r="M8" s="12" t="s">
        <v>134</v>
      </c>
      <c r="N8" s="11" t="s">
        <v>105</v>
      </c>
      <c r="O8" s="11" t="s">
        <v>135</v>
      </c>
      <c r="P8" s="11"/>
    </row>
    <row r="9" customFormat="false" ht="27.75" hidden="false" customHeight="true" outlineLevel="0" collapsed="false">
      <c r="A9" s="11" t="n">
        <v>2</v>
      </c>
      <c r="B9" s="11" t="s">
        <v>121</v>
      </c>
      <c r="C9" s="11" t="s">
        <v>136</v>
      </c>
      <c r="D9" s="11" t="s">
        <v>137</v>
      </c>
      <c r="E9" s="11" t="s">
        <v>123</v>
      </c>
      <c r="F9" s="11" t="n">
        <v>1</v>
      </c>
      <c r="G9" s="13" t="n">
        <v>6.4</v>
      </c>
      <c r="H9" s="14" t="n">
        <f aca="false">G9/F9</f>
        <v>6.4</v>
      </c>
      <c r="I9" s="11" t="n">
        <v>1</v>
      </c>
      <c r="J9" s="13" t="n">
        <f aca="false">ROUNDUP(I9/F9,0)*G9</f>
        <v>6.4</v>
      </c>
      <c r="K9" s="11" t="s">
        <v>138</v>
      </c>
      <c r="L9" s="11" t="s">
        <v>139</v>
      </c>
      <c r="M9" s="11"/>
      <c r="N9" s="11" t="s">
        <v>105</v>
      </c>
      <c r="O9" s="11" t="s">
        <v>140</v>
      </c>
      <c r="P9" s="11"/>
    </row>
    <row r="10" customFormat="false" ht="27.75" hidden="false" customHeight="true" outlineLevel="0" collapsed="false">
      <c r="A10" s="3" t="n">
        <v>3</v>
      </c>
      <c r="B10" s="3" t="s">
        <v>141</v>
      </c>
      <c r="C10" s="3" t="s">
        <v>99</v>
      </c>
      <c r="D10" s="3" t="s">
        <v>142</v>
      </c>
      <c r="E10" s="3" t="s">
        <v>143</v>
      </c>
      <c r="F10" s="3" t="n">
        <v>1</v>
      </c>
      <c r="G10" s="4" t="n">
        <v>16.99</v>
      </c>
      <c r="H10" s="5" t="n">
        <f aca="false">G10/F10</f>
        <v>16.99</v>
      </c>
      <c r="I10" s="3" t="n">
        <v>1</v>
      </c>
      <c r="J10" s="4" t="n">
        <f aca="false">ROUNDUP(I10/F10,0)*G10</f>
        <v>16.99</v>
      </c>
      <c r="K10" s="3" t="s">
        <v>102</v>
      </c>
      <c r="L10" s="3" t="s">
        <v>103</v>
      </c>
      <c r="M10" s="6" t="s">
        <v>144</v>
      </c>
      <c r="N10" s="3" t="s">
        <v>105</v>
      </c>
      <c r="O10" s="3" t="s">
        <v>145</v>
      </c>
      <c r="P10" s="3"/>
    </row>
    <row r="11" customFormat="false" ht="27.75" hidden="false" customHeight="true" outlineLevel="0" collapsed="false">
      <c r="A11" s="7" t="n">
        <v>3</v>
      </c>
      <c r="B11" s="7" t="s">
        <v>141</v>
      </c>
      <c r="C11" s="7" t="s">
        <v>107</v>
      </c>
      <c r="D11" s="7" t="s">
        <v>146</v>
      </c>
      <c r="E11" s="7" t="s">
        <v>147</v>
      </c>
      <c r="F11" s="7" t="n">
        <v>1</v>
      </c>
      <c r="G11" s="8" t="n">
        <v>7.59</v>
      </c>
      <c r="H11" s="9" t="n">
        <f aca="false">G11/F11</f>
        <v>7.59</v>
      </c>
      <c r="I11" s="7" t="n">
        <v>1</v>
      </c>
      <c r="J11" s="8" t="n">
        <f aca="false">ROUNDUP(I11/F11,0)*G11</f>
        <v>7.59</v>
      </c>
      <c r="K11" s="7" t="s">
        <v>115</v>
      </c>
      <c r="L11" s="7" t="s">
        <v>110</v>
      </c>
      <c r="M11" s="10" t="s">
        <v>148</v>
      </c>
      <c r="N11" s="7" t="s">
        <v>105</v>
      </c>
      <c r="O11" s="7" t="s">
        <v>149</v>
      </c>
      <c r="P11" s="7" t="s">
        <v>113</v>
      </c>
    </row>
    <row r="12" customFormat="false" ht="15" hidden="false" customHeight="true" outlineLevel="0" collapsed="false">
      <c r="A12" s="11" t="n">
        <v>3</v>
      </c>
      <c r="B12" s="11" t="s">
        <v>150</v>
      </c>
      <c r="C12" s="11" t="s">
        <v>99</v>
      </c>
      <c r="D12" s="11" t="s">
        <v>151</v>
      </c>
      <c r="E12" s="11" t="s">
        <v>143</v>
      </c>
      <c r="F12" s="11" t="n">
        <v>1</v>
      </c>
      <c r="G12" s="13" t="n">
        <v>9.49</v>
      </c>
      <c r="H12" s="14" t="n">
        <f aca="false">G12/F12</f>
        <v>9.49</v>
      </c>
      <c r="I12" s="11" t="n">
        <v>1</v>
      </c>
      <c r="J12" s="13" t="n">
        <f aca="false">ROUNDUP(I12/F12,0)*G12</f>
        <v>9.49</v>
      </c>
      <c r="K12" s="11" t="s">
        <v>102</v>
      </c>
      <c r="L12" s="11" t="s">
        <v>103</v>
      </c>
      <c r="M12" s="12" t="s">
        <v>152</v>
      </c>
      <c r="N12" s="11" t="s">
        <v>105</v>
      </c>
      <c r="O12" s="11" t="s">
        <v>153</v>
      </c>
      <c r="P12" s="11"/>
    </row>
    <row r="13" customFormat="false" ht="15" hidden="false" customHeight="true" outlineLevel="0" collapsed="false">
      <c r="A13" s="11" t="n">
        <v>3</v>
      </c>
      <c r="B13" s="11" t="s">
        <v>150</v>
      </c>
      <c r="C13" s="11" t="s">
        <v>107</v>
      </c>
      <c r="D13" s="11" t="s">
        <v>154</v>
      </c>
      <c r="E13" s="11" t="s">
        <v>147</v>
      </c>
      <c r="F13" s="11" t="n">
        <v>1</v>
      </c>
      <c r="G13" s="13" t="n">
        <v>6.19</v>
      </c>
      <c r="H13" s="14" t="n">
        <f aca="false">G13/F13</f>
        <v>6.19</v>
      </c>
      <c r="I13" s="11" t="n">
        <v>1</v>
      </c>
      <c r="J13" s="13" t="n">
        <f aca="false">ROUNDUP(I13/F13,0)*G13</f>
        <v>6.19</v>
      </c>
      <c r="K13" s="11" t="s">
        <v>109</v>
      </c>
      <c r="L13" s="11" t="s">
        <v>110</v>
      </c>
      <c r="M13" s="11" t="s">
        <v>155</v>
      </c>
      <c r="N13" s="11" t="s">
        <v>105</v>
      </c>
      <c r="O13" s="11" t="s">
        <v>156</v>
      </c>
      <c r="P13" s="11"/>
    </row>
    <row r="14" customFormat="false" ht="27.75" hidden="false" customHeight="true" outlineLevel="0" collapsed="false">
      <c r="A14" s="3" t="n">
        <v>4</v>
      </c>
      <c r="B14" s="3" t="s">
        <v>157</v>
      </c>
      <c r="C14" s="3" t="s">
        <v>130</v>
      </c>
      <c r="D14" s="3" t="s">
        <v>158</v>
      </c>
      <c r="E14" s="3" t="s">
        <v>123</v>
      </c>
      <c r="F14" s="3" t="n">
        <v>1</v>
      </c>
      <c r="G14" s="4" t="n">
        <v>1.8</v>
      </c>
      <c r="H14" s="5" t="n">
        <f aca="false">G14/F14</f>
        <v>1.8</v>
      </c>
      <c r="I14" s="3" t="n">
        <v>1</v>
      </c>
      <c r="J14" s="4" t="n">
        <f aca="false">ROUNDUP(I14/F14,0)*G14</f>
        <v>1.8</v>
      </c>
      <c r="K14" s="3" t="s">
        <v>133</v>
      </c>
      <c r="L14" s="3" t="s">
        <v>103</v>
      </c>
      <c r="M14" s="6" t="s">
        <v>159</v>
      </c>
      <c r="N14" s="3" t="s">
        <v>105</v>
      </c>
      <c r="O14" s="3" t="s">
        <v>160</v>
      </c>
      <c r="P14" s="3"/>
    </row>
    <row r="15" customFormat="false" ht="15" hidden="false" customHeight="true" outlineLevel="0" collapsed="false">
      <c r="A15" s="3" t="n">
        <v>4</v>
      </c>
      <c r="B15" s="3" t="s">
        <v>157</v>
      </c>
      <c r="C15" s="3" t="s">
        <v>136</v>
      </c>
      <c r="D15" s="3" t="s">
        <v>161</v>
      </c>
      <c r="E15" s="3" t="s">
        <v>123</v>
      </c>
      <c r="F15" s="3" t="n">
        <v>1</v>
      </c>
      <c r="G15" s="4" t="n">
        <v>3.15</v>
      </c>
      <c r="H15" s="5" t="n">
        <f aca="false">G15/F15</f>
        <v>3.15</v>
      </c>
      <c r="I15" s="3" t="n">
        <v>1</v>
      </c>
      <c r="J15" s="4" t="n">
        <f aca="false">ROUNDUP(I15/F15,0)*G15</f>
        <v>3.15</v>
      </c>
      <c r="K15" s="3" t="s">
        <v>138</v>
      </c>
      <c r="L15" s="3" t="s">
        <v>139</v>
      </c>
      <c r="M15" s="6" t="s">
        <v>162</v>
      </c>
      <c r="N15" s="3" t="s">
        <v>105</v>
      </c>
      <c r="O15" s="3"/>
      <c r="P15" s="3"/>
    </row>
    <row r="16" customFormat="false" ht="27.75" hidden="false" customHeight="true" outlineLevel="0" collapsed="false">
      <c r="A16" s="3" t="n">
        <v>4</v>
      </c>
      <c r="B16" s="3" t="s">
        <v>157</v>
      </c>
      <c r="C16" s="3" t="s">
        <v>99</v>
      </c>
      <c r="D16" s="3" t="s">
        <v>163</v>
      </c>
      <c r="E16" s="3" t="s">
        <v>164</v>
      </c>
      <c r="F16" s="3" t="n">
        <v>2</v>
      </c>
      <c r="G16" s="4" t="n">
        <v>5.99</v>
      </c>
      <c r="H16" s="5" t="n">
        <f aca="false">G16/F16</f>
        <v>2.995</v>
      </c>
      <c r="I16" s="3" t="n">
        <v>1</v>
      </c>
      <c r="J16" s="4" t="n">
        <f aca="false">ROUNDUP(I16/F16,0)*G16</f>
        <v>5.99</v>
      </c>
      <c r="K16" s="3" t="s">
        <v>102</v>
      </c>
      <c r="L16" s="3" t="s">
        <v>103</v>
      </c>
      <c r="M16" s="6" t="s">
        <v>165</v>
      </c>
      <c r="N16" s="3" t="s">
        <v>105</v>
      </c>
      <c r="O16" s="3" t="s">
        <v>166</v>
      </c>
      <c r="P16" s="3"/>
    </row>
    <row r="17" customFormat="false" ht="27.75" hidden="false" customHeight="true" outlineLevel="0" collapsed="false">
      <c r="A17" s="7" t="n">
        <v>4</v>
      </c>
      <c r="B17" s="7" t="s">
        <v>157</v>
      </c>
      <c r="C17" s="7" t="s">
        <v>107</v>
      </c>
      <c r="D17" s="7" t="s">
        <v>167</v>
      </c>
      <c r="E17" s="7" t="s">
        <v>123</v>
      </c>
      <c r="F17" s="7" t="n">
        <v>1</v>
      </c>
      <c r="G17" s="8" t="n">
        <v>1.59</v>
      </c>
      <c r="H17" s="9" t="n">
        <f aca="false">G17/F17</f>
        <v>1.59</v>
      </c>
      <c r="I17" s="7" t="n">
        <v>1</v>
      </c>
      <c r="J17" s="8" t="n">
        <f aca="false">ROUNDUP(I17/F17,0)*G17</f>
        <v>1.59</v>
      </c>
      <c r="K17" s="7" t="s">
        <v>127</v>
      </c>
      <c r="L17" s="7" t="s">
        <v>110</v>
      </c>
      <c r="M17" s="10" t="s">
        <v>168</v>
      </c>
      <c r="N17" s="7" t="s">
        <v>105</v>
      </c>
      <c r="O17" s="7" t="s">
        <v>169</v>
      </c>
      <c r="P17" s="7" t="s">
        <v>113</v>
      </c>
    </row>
    <row r="18" customFormat="false" ht="27.75" hidden="false" customHeight="true" outlineLevel="0" collapsed="false">
      <c r="A18" s="7" t="n">
        <v>5</v>
      </c>
      <c r="B18" s="7" t="s">
        <v>170</v>
      </c>
      <c r="C18" s="7" t="s">
        <v>99</v>
      </c>
      <c r="D18" s="7" t="s">
        <v>171</v>
      </c>
      <c r="E18" s="7" t="s">
        <v>172</v>
      </c>
      <c r="F18" s="7" t="n">
        <v>8</v>
      </c>
      <c r="G18" s="8" t="n">
        <v>6.49</v>
      </c>
      <c r="H18" s="9" t="n">
        <f aca="false">G18/F18</f>
        <v>0.81125</v>
      </c>
      <c r="I18" s="7" t="n">
        <v>1</v>
      </c>
      <c r="J18" s="8" t="n">
        <f aca="false">ROUNDUP(I18/F18,0)*G18</f>
        <v>6.49</v>
      </c>
      <c r="K18" s="7" t="s">
        <v>102</v>
      </c>
      <c r="L18" s="7" t="s">
        <v>103</v>
      </c>
      <c r="M18" s="10" t="s">
        <v>173</v>
      </c>
      <c r="N18" s="7" t="s">
        <v>105</v>
      </c>
      <c r="O18" s="7" t="s">
        <v>174</v>
      </c>
      <c r="P18" s="7"/>
    </row>
    <row r="19" customFormat="false" ht="27.75" hidden="false" customHeight="true" outlineLevel="0" collapsed="false">
      <c r="A19" s="7" t="n">
        <v>6</v>
      </c>
      <c r="B19" s="7" t="s">
        <v>175</v>
      </c>
      <c r="C19" s="7" t="s">
        <v>99</v>
      </c>
      <c r="D19" s="7" t="s">
        <v>176</v>
      </c>
      <c r="E19" s="7" t="s">
        <v>101</v>
      </c>
      <c r="F19" s="7" t="n">
        <v>1</v>
      </c>
      <c r="G19" s="8" t="n">
        <v>10.99</v>
      </c>
      <c r="H19" s="9" t="n">
        <f aca="false">G19/F19</f>
        <v>10.99</v>
      </c>
      <c r="I19" s="7" t="n">
        <v>1</v>
      </c>
      <c r="J19" s="8" t="n">
        <f aca="false">ROUNDUP(I19/F19,0)*G19</f>
        <v>10.99</v>
      </c>
      <c r="K19" s="7" t="s">
        <v>102</v>
      </c>
      <c r="L19" s="7" t="s">
        <v>103</v>
      </c>
      <c r="M19" s="10" t="s">
        <v>177</v>
      </c>
      <c r="N19" s="7" t="s">
        <v>105</v>
      </c>
      <c r="O19" s="7" t="s">
        <v>178</v>
      </c>
      <c r="P19" s="7" t="s">
        <v>113</v>
      </c>
    </row>
    <row r="20" customFormat="false" ht="27.75" hidden="false" customHeight="true" outlineLevel="0" collapsed="false">
      <c r="A20" s="11" t="n">
        <v>6</v>
      </c>
      <c r="B20" s="11" t="s">
        <v>175</v>
      </c>
      <c r="C20" s="11" t="s">
        <v>179</v>
      </c>
      <c r="D20" s="11" t="s">
        <v>119</v>
      </c>
      <c r="E20" s="11" t="s">
        <v>119</v>
      </c>
      <c r="F20" s="11" t="n">
        <v>1</v>
      </c>
      <c r="G20" s="11" t="s">
        <v>119</v>
      </c>
      <c r="H20" s="11"/>
      <c r="I20" s="11" t="n">
        <v>1</v>
      </c>
      <c r="J20" s="11"/>
      <c r="K20" s="11" t="s">
        <v>119</v>
      </c>
      <c r="L20" s="11" t="s">
        <v>119</v>
      </c>
      <c r="M20" s="11"/>
      <c r="N20" s="11" t="s">
        <v>105</v>
      </c>
      <c r="O20" s="11" t="s">
        <v>180</v>
      </c>
      <c r="P20" s="11"/>
    </row>
    <row r="21" customFormat="false" ht="27.75" hidden="false" customHeight="true" outlineLevel="0" collapsed="false">
      <c r="A21" s="3" t="n">
        <v>7</v>
      </c>
      <c r="B21" s="3" t="s">
        <v>181</v>
      </c>
      <c r="C21" s="3" t="s">
        <v>99</v>
      </c>
      <c r="D21" s="3" t="s">
        <v>182</v>
      </c>
      <c r="E21" s="3" t="s">
        <v>183</v>
      </c>
      <c r="F21" s="3" t="n">
        <v>10</v>
      </c>
      <c r="G21" s="4" t="n">
        <v>6.99</v>
      </c>
      <c r="H21" s="5" t="n">
        <f aca="false">G21/F21</f>
        <v>0.699</v>
      </c>
      <c r="I21" s="3" t="n">
        <v>1</v>
      </c>
      <c r="J21" s="4" t="n">
        <f aca="false">ROUNDUP(I21/F21,0)*G21</f>
        <v>6.99</v>
      </c>
      <c r="K21" s="3" t="s">
        <v>102</v>
      </c>
      <c r="L21" s="3" t="s">
        <v>103</v>
      </c>
      <c r="M21" s="6" t="s">
        <v>184</v>
      </c>
      <c r="N21" s="3" t="s">
        <v>105</v>
      </c>
      <c r="O21" s="3" t="s">
        <v>185</v>
      </c>
      <c r="P21" s="3"/>
    </row>
    <row r="22" customFormat="false" ht="27.75" hidden="false" customHeight="true" outlineLevel="0" collapsed="false">
      <c r="A22" s="7" t="n">
        <v>7</v>
      </c>
      <c r="B22" s="7" t="s">
        <v>181</v>
      </c>
      <c r="C22" s="7" t="s">
        <v>107</v>
      </c>
      <c r="D22" s="7" t="s">
        <v>186</v>
      </c>
      <c r="E22" s="7" t="s">
        <v>187</v>
      </c>
      <c r="F22" s="7" t="n">
        <v>2</v>
      </c>
      <c r="G22" s="8" t="n">
        <v>1.55</v>
      </c>
      <c r="H22" s="9" t="n">
        <f aca="false">G22/F22</f>
        <v>0.775</v>
      </c>
      <c r="I22" s="7" t="n">
        <v>1</v>
      </c>
      <c r="J22" s="8" t="n">
        <f aca="false">ROUNDUP(I22/F22,0)*G22</f>
        <v>1.55</v>
      </c>
      <c r="K22" s="7" t="s">
        <v>115</v>
      </c>
      <c r="L22" s="7" t="s">
        <v>110</v>
      </c>
      <c r="M22" s="10" t="s">
        <v>188</v>
      </c>
      <c r="N22" s="7" t="s">
        <v>105</v>
      </c>
      <c r="O22" s="7" t="s">
        <v>189</v>
      </c>
      <c r="P22" s="7" t="s">
        <v>113</v>
      </c>
    </row>
    <row r="23" customFormat="false" ht="27.75" hidden="false" customHeight="true" outlineLevel="0" collapsed="false">
      <c r="A23" s="11" t="n">
        <v>7</v>
      </c>
      <c r="B23" s="11" t="s">
        <v>181</v>
      </c>
      <c r="C23" s="11" t="s">
        <v>130</v>
      </c>
      <c r="D23" s="11" t="s">
        <v>190</v>
      </c>
      <c r="E23" s="11" t="s">
        <v>101</v>
      </c>
      <c r="F23" s="11" t="n">
        <v>1</v>
      </c>
      <c r="G23" s="13" t="n">
        <v>1.3</v>
      </c>
      <c r="H23" s="14" t="n">
        <f aca="false">G23/F23</f>
        <v>1.3</v>
      </c>
      <c r="I23" s="11" t="n">
        <v>1</v>
      </c>
      <c r="J23" s="13" t="n">
        <f aca="false">ROUNDUP(I23/F23,0)*G23</f>
        <v>1.3</v>
      </c>
      <c r="K23" s="11" t="s">
        <v>133</v>
      </c>
      <c r="L23" s="11" t="s">
        <v>103</v>
      </c>
      <c r="M23" s="12" t="s">
        <v>191</v>
      </c>
      <c r="N23" s="11" t="s">
        <v>105</v>
      </c>
      <c r="O23" s="11" t="s">
        <v>192</v>
      </c>
      <c r="P23" s="11"/>
    </row>
    <row r="24" customFormat="false" ht="27.75" hidden="false" customHeight="true" outlineLevel="0" collapsed="false">
      <c r="A24" s="7" t="n">
        <v>8</v>
      </c>
      <c r="B24" s="7" t="s">
        <v>193</v>
      </c>
      <c r="C24" s="7" t="s">
        <v>130</v>
      </c>
      <c r="D24" s="7" t="s">
        <v>194</v>
      </c>
      <c r="E24" s="7" t="s">
        <v>101</v>
      </c>
      <c r="F24" s="7" t="n">
        <v>1</v>
      </c>
      <c r="G24" s="8" t="n">
        <v>9.95</v>
      </c>
      <c r="H24" s="9" t="n">
        <f aca="false">G24/F24</f>
        <v>9.95</v>
      </c>
      <c r="I24" s="7" t="n">
        <v>1</v>
      </c>
      <c r="J24" s="8" t="n">
        <f aca="false">ROUNDUP(I24/F24,0)*G24</f>
        <v>9.95</v>
      </c>
      <c r="K24" s="7" t="s">
        <v>133</v>
      </c>
      <c r="L24" s="7" t="s">
        <v>103</v>
      </c>
      <c r="M24" s="10" t="s">
        <v>195</v>
      </c>
      <c r="N24" s="7" t="s">
        <v>105</v>
      </c>
      <c r="O24" s="7" t="s">
        <v>196</v>
      </c>
      <c r="P24" s="7" t="s">
        <v>113</v>
      </c>
    </row>
    <row r="25" customFormat="false" ht="15" hidden="false" customHeight="true" outlineLevel="0" collapsed="false">
      <c r="A25" s="3" t="n">
        <v>8</v>
      </c>
      <c r="B25" s="3" t="s">
        <v>193</v>
      </c>
      <c r="C25" s="3" t="s">
        <v>130</v>
      </c>
      <c r="D25" s="3" t="s">
        <v>197</v>
      </c>
      <c r="E25" s="3" t="s">
        <v>101</v>
      </c>
      <c r="F25" s="3" t="n">
        <v>1</v>
      </c>
      <c r="G25" s="4" t="n">
        <v>17.95</v>
      </c>
      <c r="H25" s="5" t="n">
        <f aca="false">G25/F25</f>
        <v>17.95</v>
      </c>
      <c r="I25" s="3" t="n">
        <v>1</v>
      </c>
      <c r="J25" s="4" t="n">
        <f aca="false">ROUNDUP(I25/F25,0)*G25</f>
        <v>17.95</v>
      </c>
      <c r="K25" s="3" t="s">
        <v>133</v>
      </c>
      <c r="L25" s="3" t="s">
        <v>103</v>
      </c>
      <c r="M25" s="6" t="s">
        <v>198</v>
      </c>
      <c r="N25" s="3" t="s">
        <v>105</v>
      </c>
      <c r="O25" s="3" t="s">
        <v>199</v>
      </c>
      <c r="P25" s="3"/>
    </row>
    <row r="26" customFormat="false" ht="27.75" hidden="false" customHeight="true" outlineLevel="0" collapsed="false">
      <c r="A26" s="11" t="n">
        <v>8</v>
      </c>
      <c r="B26" s="11" t="s">
        <v>193</v>
      </c>
      <c r="C26" s="11" t="s">
        <v>107</v>
      </c>
      <c r="D26" s="11" t="s">
        <v>200</v>
      </c>
      <c r="E26" s="11" t="s">
        <v>201</v>
      </c>
      <c r="F26" s="11" t="n">
        <v>2</v>
      </c>
      <c r="G26" s="13" t="n">
        <v>2.04</v>
      </c>
      <c r="H26" s="14" t="n">
        <f aca="false">G26/F26</f>
        <v>1.02</v>
      </c>
      <c r="I26" s="11" t="n">
        <v>1</v>
      </c>
      <c r="J26" s="13" t="n">
        <f aca="false">ROUNDUP(I26/F26,0)*G26</f>
        <v>2.04</v>
      </c>
      <c r="K26" s="11" t="s">
        <v>202</v>
      </c>
      <c r="L26" s="11" t="s">
        <v>110</v>
      </c>
      <c r="M26" s="12" t="s">
        <v>203</v>
      </c>
      <c r="N26" s="11" t="s">
        <v>105</v>
      </c>
      <c r="O26" s="11" t="s">
        <v>204</v>
      </c>
      <c r="P26" s="11"/>
    </row>
    <row r="27" customFormat="false" ht="15" hidden="false" customHeight="true" outlineLevel="0" collapsed="false">
      <c r="A27" s="11" t="n">
        <v>8</v>
      </c>
      <c r="B27" s="11" t="s">
        <v>193</v>
      </c>
      <c r="C27" s="11" t="s">
        <v>99</v>
      </c>
      <c r="D27" s="11" t="s">
        <v>205</v>
      </c>
      <c r="E27" s="11" t="s">
        <v>206</v>
      </c>
      <c r="F27" s="11" t="n">
        <v>3</v>
      </c>
      <c r="G27" s="11" t="s">
        <v>119</v>
      </c>
      <c r="H27" s="11"/>
      <c r="I27" s="11" t="n">
        <v>1</v>
      </c>
      <c r="J27" s="11"/>
      <c r="K27" s="11" t="s">
        <v>119</v>
      </c>
      <c r="L27" s="11" t="s">
        <v>119</v>
      </c>
      <c r="M27" s="12" t="s">
        <v>207</v>
      </c>
      <c r="N27" s="11" t="s">
        <v>105</v>
      </c>
      <c r="O27" s="11" t="s">
        <v>208</v>
      </c>
      <c r="P27" s="11"/>
    </row>
    <row r="28" customFormat="false" ht="27.75" hidden="false" customHeight="true" outlineLevel="0" collapsed="false">
      <c r="A28" s="7" t="n">
        <v>9</v>
      </c>
      <c r="B28" s="7" t="s">
        <v>209</v>
      </c>
      <c r="C28" s="7" t="s">
        <v>210</v>
      </c>
      <c r="D28" s="7" t="s">
        <v>211</v>
      </c>
      <c r="E28" s="7" t="s">
        <v>212</v>
      </c>
      <c r="F28" s="7" t="n">
        <v>10</v>
      </c>
      <c r="G28" s="8" t="n">
        <v>2.5</v>
      </c>
      <c r="H28" s="9" t="n">
        <f aca="false">G28/F28</f>
        <v>0.25</v>
      </c>
      <c r="I28" s="7" t="n">
        <v>8</v>
      </c>
      <c r="J28" s="8" t="n">
        <f aca="false">ROUNDUP(I28/F28,0)*G28</f>
        <v>2.5</v>
      </c>
      <c r="K28" s="7" t="s">
        <v>213</v>
      </c>
      <c r="L28" s="7" t="s">
        <v>103</v>
      </c>
      <c r="M28" s="10" t="s">
        <v>214</v>
      </c>
      <c r="N28" s="7" t="s">
        <v>105</v>
      </c>
      <c r="O28" s="7" t="s">
        <v>215</v>
      </c>
      <c r="P28" s="7" t="s">
        <v>113</v>
      </c>
    </row>
    <row r="29" customFormat="false" ht="27.75" hidden="false" customHeight="true" outlineLevel="0" collapsed="false">
      <c r="A29" s="7" t="n">
        <v>10</v>
      </c>
      <c r="B29" s="7" t="s">
        <v>216</v>
      </c>
      <c r="C29" s="7" t="s">
        <v>210</v>
      </c>
      <c r="D29" s="7" t="s">
        <v>217</v>
      </c>
      <c r="E29" s="7" t="s">
        <v>218</v>
      </c>
      <c r="F29" s="7" t="n">
        <v>1</v>
      </c>
      <c r="G29" s="8" t="n">
        <v>0.56</v>
      </c>
      <c r="H29" s="9" t="n">
        <f aca="false">G29/F29</f>
        <v>0.56</v>
      </c>
      <c r="I29" s="7" t="n">
        <v>2</v>
      </c>
      <c r="J29" s="8" t="n">
        <f aca="false">ROUNDUP(I29/F29,0)*G29</f>
        <v>1.12</v>
      </c>
      <c r="K29" s="7" t="s">
        <v>213</v>
      </c>
      <c r="L29" s="7" t="s">
        <v>103</v>
      </c>
      <c r="M29" s="10" t="s">
        <v>219</v>
      </c>
      <c r="N29" s="7" t="s">
        <v>105</v>
      </c>
      <c r="O29" s="7"/>
      <c r="P29" s="7" t="s">
        <v>113</v>
      </c>
    </row>
    <row r="30" customFormat="false" ht="15" hidden="false" customHeight="true" outlineLevel="0" collapsed="false">
      <c r="A30" s="3" t="n">
        <v>10</v>
      </c>
      <c r="B30" s="3" t="s">
        <v>216</v>
      </c>
      <c r="C30" s="3" t="s">
        <v>136</v>
      </c>
      <c r="D30" s="3" t="s">
        <v>220</v>
      </c>
      <c r="E30" s="3" t="s">
        <v>221</v>
      </c>
      <c r="F30" s="3" t="n">
        <v>50</v>
      </c>
      <c r="G30" s="4" t="n">
        <v>1.85</v>
      </c>
      <c r="H30" s="5" t="n">
        <f aca="false">G30/F30</f>
        <v>0.037</v>
      </c>
      <c r="I30" s="3" t="n">
        <v>2</v>
      </c>
      <c r="J30" s="4" t="n">
        <f aca="false">ROUNDUP(I30/F30,0)*G30</f>
        <v>1.85</v>
      </c>
      <c r="K30" s="3" t="s">
        <v>138</v>
      </c>
      <c r="L30" s="3" t="s">
        <v>139</v>
      </c>
      <c r="M30" s="6" t="s">
        <v>222</v>
      </c>
      <c r="N30" s="3" t="s">
        <v>105</v>
      </c>
      <c r="O30" s="3" t="s">
        <v>223</v>
      </c>
      <c r="P30" s="3"/>
    </row>
    <row r="31" customFormat="false" ht="27.75" hidden="false" customHeight="true" outlineLevel="0" collapsed="false">
      <c r="A31" s="7" t="n">
        <v>11</v>
      </c>
      <c r="B31" s="7" t="s">
        <v>224</v>
      </c>
      <c r="C31" s="7" t="s">
        <v>210</v>
      </c>
      <c r="D31" s="7" t="s">
        <v>225</v>
      </c>
      <c r="E31" s="7" t="s">
        <v>218</v>
      </c>
      <c r="F31" s="7" t="n">
        <v>1</v>
      </c>
      <c r="G31" s="8" t="n">
        <v>0.62</v>
      </c>
      <c r="H31" s="9" t="n">
        <f aca="false">G31/F31</f>
        <v>0.62</v>
      </c>
      <c r="I31" s="7" t="n">
        <v>2</v>
      </c>
      <c r="J31" s="8" t="n">
        <f aca="false">ROUNDUP(I31/F31,0)*G31</f>
        <v>1.24</v>
      </c>
      <c r="K31" s="7" t="s">
        <v>213</v>
      </c>
      <c r="L31" s="7" t="s">
        <v>103</v>
      </c>
      <c r="M31" s="10" t="s">
        <v>226</v>
      </c>
      <c r="N31" s="7" t="s">
        <v>105</v>
      </c>
      <c r="O31" s="7"/>
      <c r="P31" s="7" t="s">
        <v>113</v>
      </c>
    </row>
    <row r="32" customFormat="false" ht="27.75" hidden="false" customHeight="true" outlineLevel="0" collapsed="false">
      <c r="A32" s="7" t="n">
        <v>12</v>
      </c>
      <c r="B32" s="7" t="s">
        <v>227</v>
      </c>
      <c r="C32" s="7" t="s">
        <v>130</v>
      </c>
      <c r="D32" s="7" t="s">
        <v>228</v>
      </c>
      <c r="E32" s="7" t="s">
        <v>218</v>
      </c>
      <c r="F32" s="7" t="n">
        <v>1</v>
      </c>
      <c r="G32" s="8" t="n">
        <v>0.15</v>
      </c>
      <c r="H32" s="9" t="n">
        <f aca="false">G32/F32</f>
        <v>0.15</v>
      </c>
      <c r="I32" s="7" t="n">
        <v>4</v>
      </c>
      <c r="J32" s="8" t="n">
        <f aca="false">ROUNDUP(I32/F32,0)*G32</f>
        <v>0.6</v>
      </c>
      <c r="K32" s="7" t="s">
        <v>133</v>
      </c>
      <c r="L32" s="7" t="s">
        <v>103</v>
      </c>
      <c r="M32" s="10" t="s">
        <v>229</v>
      </c>
      <c r="N32" s="7" t="s">
        <v>105</v>
      </c>
      <c r="O32" s="7" t="s">
        <v>230</v>
      </c>
      <c r="P32" s="7" t="s">
        <v>113</v>
      </c>
    </row>
    <row r="33" customFormat="false" ht="27.75" hidden="false" customHeight="true" outlineLevel="0" collapsed="false">
      <c r="A33" s="3" t="n">
        <v>12</v>
      </c>
      <c r="B33" s="3" t="s">
        <v>227</v>
      </c>
      <c r="C33" s="3" t="s">
        <v>99</v>
      </c>
      <c r="D33" s="3" t="s">
        <v>231</v>
      </c>
      <c r="E33" s="3" t="s">
        <v>232</v>
      </c>
      <c r="F33" s="3" t="n">
        <v>20</v>
      </c>
      <c r="G33" s="4" t="n">
        <v>5.45</v>
      </c>
      <c r="H33" s="5" t="n">
        <f aca="false">G33/F33</f>
        <v>0.2725</v>
      </c>
      <c r="I33" s="3" t="n">
        <v>4</v>
      </c>
      <c r="J33" s="4" t="n">
        <f aca="false">ROUNDUP(I33/F33,0)*G33</f>
        <v>5.45</v>
      </c>
      <c r="K33" s="3" t="s">
        <v>102</v>
      </c>
      <c r="L33" s="3" t="s">
        <v>103</v>
      </c>
      <c r="M33" s="6" t="s">
        <v>233</v>
      </c>
      <c r="N33" s="3" t="s">
        <v>105</v>
      </c>
      <c r="O33" s="3"/>
      <c r="P33" s="3"/>
    </row>
    <row r="34" customFormat="false" ht="27.75" hidden="false" customHeight="true" outlineLevel="0" collapsed="false">
      <c r="A34" s="7" t="n">
        <v>13</v>
      </c>
      <c r="B34" s="7" t="s">
        <v>234</v>
      </c>
      <c r="C34" s="7" t="s">
        <v>99</v>
      </c>
      <c r="D34" s="7" t="s">
        <v>235</v>
      </c>
      <c r="E34" s="7" t="s">
        <v>101</v>
      </c>
      <c r="F34" s="7" t="n">
        <v>1</v>
      </c>
      <c r="G34" s="8" t="n">
        <v>7.59</v>
      </c>
      <c r="H34" s="9" t="n">
        <f aca="false">G34/F34</f>
        <v>7.59</v>
      </c>
      <c r="I34" s="7" t="n">
        <v>1</v>
      </c>
      <c r="J34" s="8" t="n">
        <f aca="false">ROUNDUP(I34/F34,0)*G34</f>
        <v>7.59</v>
      </c>
      <c r="K34" s="7" t="s">
        <v>102</v>
      </c>
      <c r="L34" s="7" t="s">
        <v>103</v>
      </c>
      <c r="M34" s="10" t="s">
        <v>236</v>
      </c>
      <c r="N34" s="7" t="s">
        <v>105</v>
      </c>
      <c r="O34" s="7" t="s">
        <v>237</v>
      </c>
      <c r="P34" s="7" t="s">
        <v>113</v>
      </c>
    </row>
    <row r="35" customFormat="false" ht="15" hidden="false" customHeight="true" outlineLevel="0" collapsed="false">
      <c r="A35" s="3" t="n">
        <v>14</v>
      </c>
      <c r="B35" s="3" t="s">
        <v>238</v>
      </c>
      <c r="C35" s="3" t="s">
        <v>136</v>
      </c>
      <c r="D35" s="3" t="s">
        <v>239</v>
      </c>
      <c r="E35" s="3" t="s">
        <v>218</v>
      </c>
      <c r="F35" s="3" t="n">
        <v>1</v>
      </c>
      <c r="G35" s="4" t="n">
        <v>0.09</v>
      </c>
      <c r="H35" s="5" t="n">
        <f aca="false">G35/F35</f>
        <v>0.09</v>
      </c>
      <c r="I35" s="3" t="n">
        <v>2</v>
      </c>
      <c r="J35" s="4" t="n">
        <f aca="false">ROUNDUP(I35/F35,0)*G35</f>
        <v>0.18</v>
      </c>
      <c r="K35" s="3" t="s">
        <v>138</v>
      </c>
      <c r="L35" s="3" t="s">
        <v>139</v>
      </c>
      <c r="M35" s="6" t="s">
        <v>240</v>
      </c>
      <c r="N35" s="3" t="s">
        <v>105</v>
      </c>
      <c r="O35" s="3" t="s">
        <v>241</v>
      </c>
      <c r="P35" s="3"/>
    </row>
    <row r="36" customFormat="false" ht="15" hidden="false" customHeight="true" outlineLevel="0" collapsed="false">
      <c r="A36" s="11" t="n">
        <v>14</v>
      </c>
      <c r="B36" s="11" t="s">
        <v>238</v>
      </c>
      <c r="C36" s="11" t="s">
        <v>130</v>
      </c>
      <c r="D36" s="11" t="s">
        <v>242</v>
      </c>
      <c r="E36" s="11" t="s">
        <v>218</v>
      </c>
      <c r="F36" s="11" t="n">
        <v>1</v>
      </c>
      <c r="G36" s="13" t="n">
        <v>0.05</v>
      </c>
      <c r="H36" s="14" t="n">
        <f aca="false">G36/F36</f>
        <v>0.05</v>
      </c>
      <c r="I36" s="11" t="n">
        <v>2</v>
      </c>
      <c r="J36" s="13" t="n">
        <f aca="false">ROUNDUP(I36/F36,0)*G36</f>
        <v>0.1</v>
      </c>
      <c r="K36" s="11" t="s">
        <v>133</v>
      </c>
      <c r="L36" s="11" t="s">
        <v>119</v>
      </c>
      <c r="M36" s="12" t="s">
        <v>243</v>
      </c>
      <c r="N36" s="11" t="s">
        <v>105</v>
      </c>
      <c r="O36" s="11" t="s">
        <v>244</v>
      </c>
      <c r="P36" s="11"/>
    </row>
    <row r="37" customFormat="false" ht="27.75" hidden="false" customHeight="true" outlineLevel="0" collapsed="false">
      <c r="A37" s="7" t="n">
        <v>14</v>
      </c>
      <c r="B37" s="7" t="s">
        <v>238</v>
      </c>
      <c r="C37" s="7" t="s">
        <v>130</v>
      </c>
      <c r="D37" s="7" t="s">
        <v>245</v>
      </c>
      <c r="E37" s="7" t="s">
        <v>218</v>
      </c>
      <c r="F37" s="7" t="n">
        <v>1</v>
      </c>
      <c r="G37" s="8" t="n">
        <v>0.05</v>
      </c>
      <c r="H37" s="9" t="n">
        <f aca="false">G37/F37</f>
        <v>0.05</v>
      </c>
      <c r="I37" s="7" t="n">
        <v>2</v>
      </c>
      <c r="J37" s="8" t="n">
        <f aca="false">ROUNDUP(I37/F37,0)*G37</f>
        <v>0.1</v>
      </c>
      <c r="K37" s="7" t="s">
        <v>133</v>
      </c>
      <c r="L37" s="7" t="s">
        <v>103</v>
      </c>
      <c r="M37" s="10" t="s">
        <v>246</v>
      </c>
      <c r="N37" s="7" t="s">
        <v>105</v>
      </c>
      <c r="O37" s="7" t="s">
        <v>247</v>
      </c>
      <c r="P37" s="7" t="s">
        <v>113</v>
      </c>
    </row>
    <row r="38" customFormat="false" ht="15" hidden="false" customHeight="true" outlineLevel="0" collapsed="false">
      <c r="A38" s="3" t="n">
        <v>15</v>
      </c>
      <c r="B38" s="3" t="s">
        <v>248</v>
      </c>
      <c r="C38" s="3" t="s">
        <v>130</v>
      </c>
      <c r="D38" s="3" t="s">
        <v>249</v>
      </c>
      <c r="E38" s="3" t="s">
        <v>250</v>
      </c>
      <c r="F38" s="3" t="n">
        <v>1</v>
      </c>
      <c r="G38" s="4" t="n">
        <v>3.5</v>
      </c>
      <c r="H38" s="5" t="n">
        <f aca="false">G38/F38</f>
        <v>3.5</v>
      </c>
      <c r="I38" s="3" t="n">
        <v>1</v>
      </c>
      <c r="J38" s="4" t="n">
        <f aca="false">ROUNDUP(I38/F38,0)*G38</f>
        <v>3.5</v>
      </c>
      <c r="K38" s="3" t="s">
        <v>133</v>
      </c>
      <c r="L38" s="3" t="s">
        <v>103</v>
      </c>
      <c r="M38" s="6" t="s">
        <v>251</v>
      </c>
      <c r="N38" s="3" t="s">
        <v>105</v>
      </c>
      <c r="O38" s="3" t="s">
        <v>252</v>
      </c>
      <c r="P38" s="3"/>
    </row>
    <row r="39" customFormat="false" ht="15" hidden="false" customHeight="true" outlineLevel="0" collapsed="false">
      <c r="A39" s="3" t="n">
        <v>15</v>
      </c>
      <c r="B39" s="3" t="s">
        <v>248</v>
      </c>
      <c r="C39" s="3" t="s">
        <v>130</v>
      </c>
      <c r="D39" s="3" t="s">
        <v>253</v>
      </c>
      <c r="E39" s="3" t="s">
        <v>250</v>
      </c>
      <c r="F39" s="3" t="n">
        <v>1</v>
      </c>
      <c r="G39" s="4" t="n">
        <v>4.9</v>
      </c>
      <c r="H39" s="5" t="n">
        <f aca="false">G39/F39</f>
        <v>4.9</v>
      </c>
      <c r="I39" s="3" t="n">
        <v>1</v>
      </c>
      <c r="J39" s="4" t="n">
        <f aca="false">ROUNDUP(I39/F39,0)*G39</f>
        <v>4.9</v>
      </c>
      <c r="K39" s="3" t="s">
        <v>133</v>
      </c>
      <c r="L39" s="3" t="s">
        <v>103</v>
      </c>
      <c r="M39" s="6" t="s">
        <v>254</v>
      </c>
      <c r="N39" s="3" t="s">
        <v>105</v>
      </c>
      <c r="O39" s="3" t="s">
        <v>255</v>
      </c>
      <c r="P39" s="3"/>
    </row>
    <row r="40" customFormat="false" ht="27.75" hidden="false" customHeight="true" outlineLevel="0" collapsed="false">
      <c r="A40" s="7" t="n">
        <v>15</v>
      </c>
      <c r="B40" s="7" t="s">
        <v>248</v>
      </c>
      <c r="C40" s="7" t="s">
        <v>107</v>
      </c>
      <c r="D40" s="7" t="s">
        <v>256</v>
      </c>
      <c r="E40" s="7" t="s">
        <v>257</v>
      </c>
      <c r="F40" s="7" t="n">
        <v>1</v>
      </c>
      <c r="G40" s="8" t="n">
        <v>1.09</v>
      </c>
      <c r="H40" s="9" t="n">
        <f aca="false">G40/F40</f>
        <v>1.09</v>
      </c>
      <c r="I40" s="7" t="n">
        <v>1</v>
      </c>
      <c r="J40" s="8" t="n">
        <f aca="false">ROUNDUP(I40/F40,0)*G40</f>
        <v>1.09</v>
      </c>
      <c r="K40" s="7" t="s">
        <v>115</v>
      </c>
      <c r="L40" s="7" t="s">
        <v>110</v>
      </c>
      <c r="M40" s="10" t="s">
        <v>258</v>
      </c>
      <c r="N40" s="7" t="s">
        <v>105</v>
      </c>
      <c r="O40" s="7" t="s">
        <v>259</v>
      </c>
      <c r="P40" s="7" t="s">
        <v>113</v>
      </c>
    </row>
    <row r="41" customFormat="false" ht="27.75" hidden="false" customHeight="true" outlineLevel="0" collapsed="false">
      <c r="A41" s="7" t="n">
        <v>16</v>
      </c>
      <c r="B41" s="7" t="s">
        <v>260</v>
      </c>
      <c r="C41" s="7" t="s">
        <v>107</v>
      </c>
      <c r="D41" s="7" t="s">
        <v>261</v>
      </c>
      <c r="E41" s="7" t="s">
        <v>262</v>
      </c>
      <c r="F41" s="7" t="n">
        <v>1</v>
      </c>
      <c r="G41" s="8" t="n">
        <v>1.49</v>
      </c>
      <c r="H41" s="9" t="n">
        <f aca="false">G41/F41</f>
        <v>1.49</v>
      </c>
      <c r="I41" s="7" t="n">
        <v>1</v>
      </c>
      <c r="J41" s="8" t="n">
        <f aca="false">ROUNDUP(I41/F41,0)*G41</f>
        <v>1.49</v>
      </c>
      <c r="K41" s="7" t="s">
        <v>115</v>
      </c>
      <c r="L41" s="7" t="s">
        <v>110</v>
      </c>
      <c r="M41" s="10" t="s">
        <v>263</v>
      </c>
      <c r="N41" s="7" t="s">
        <v>105</v>
      </c>
      <c r="O41" s="7" t="s">
        <v>264</v>
      </c>
      <c r="P41" s="7" t="s">
        <v>113</v>
      </c>
    </row>
    <row r="42" customFormat="false" ht="27.75" hidden="false" customHeight="true" outlineLevel="0" collapsed="false">
      <c r="A42" s="7" t="n">
        <v>17</v>
      </c>
      <c r="B42" s="7" t="s">
        <v>265</v>
      </c>
      <c r="C42" s="7" t="s">
        <v>107</v>
      </c>
      <c r="D42" s="7" t="s">
        <v>266</v>
      </c>
      <c r="E42" s="7" t="s">
        <v>101</v>
      </c>
      <c r="F42" s="7" t="n">
        <v>1</v>
      </c>
      <c r="G42" s="8" t="n">
        <v>2.39</v>
      </c>
      <c r="H42" s="9" t="n">
        <f aca="false">G42/F42</f>
        <v>2.39</v>
      </c>
      <c r="I42" s="7" t="n">
        <v>1</v>
      </c>
      <c r="J42" s="8" t="n">
        <f aca="false">ROUNDUP(I42/F42,0)*G42</f>
        <v>2.39</v>
      </c>
      <c r="K42" s="7" t="s">
        <v>115</v>
      </c>
      <c r="L42" s="7" t="s">
        <v>110</v>
      </c>
      <c r="M42" s="10" t="s">
        <v>267</v>
      </c>
      <c r="N42" s="7" t="s">
        <v>105</v>
      </c>
      <c r="O42" s="7" t="s">
        <v>268</v>
      </c>
      <c r="P42" s="7" t="s">
        <v>113</v>
      </c>
    </row>
    <row r="43" customFormat="false" ht="27.75" hidden="false" customHeight="true" outlineLevel="0" collapsed="false">
      <c r="A43" s="7" t="n">
        <v>18</v>
      </c>
      <c r="B43" s="7" t="s">
        <v>269</v>
      </c>
      <c r="C43" s="7" t="s">
        <v>130</v>
      </c>
      <c r="D43" s="7" t="s">
        <v>270</v>
      </c>
      <c r="E43" s="7" t="s">
        <v>11</v>
      </c>
      <c r="F43" s="7" t="n">
        <v>1</v>
      </c>
      <c r="G43" s="8" t="n">
        <v>2.8</v>
      </c>
      <c r="H43" s="9" t="n">
        <f aca="false">G43/F43</f>
        <v>2.8</v>
      </c>
      <c r="I43" s="7" t="n">
        <v>1</v>
      </c>
      <c r="J43" s="8" t="n">
        <f aca="false">ROUNDUP(I43/F43,0)*G43</f>
        <v>2.8</v>
      </c>
      <c r="K43" s="7" t="s">
        <v>133</v>
      </c>
      <c r="L43" s="7" t="s">
        <v>103</v>
      </c>
      <c r="M43" s="10" t="s">
        <v>271</v>
      </c>
      <c r="N43" s="7" t="s">
        <v>105</v>
      </c>
      <c r="O43" s="7"/>
      <c r="P43" s="7" t="s">
        <v>113</v>
      </c>
    </row>
    <row r="44" customFormat="false" ht="27.75" hidden="false" customHeight="true" outlineLevel="0" collapsed="false">
      <c r="A44" s="7" t="n">
        <v>19</v>
      </c>
      <c r="B44" s="7" t="s">
        <v>272</v>
      </c>
      <c r="C44" s="7" t="s">
        <v>130</v>
      </c>
      <c r="D44" s="7" t="s">
        <v>273</v>
      </c>
      <c r="E44" s="7" t="s">
        <v>48</v>
      </c>
      <c r="F44" s="7" t="n">
        <v>1</v>
      </c>
      <c r="G44" s="8" t="n">
        <v>2.9</v>
      </c>
      <c r="H44" s="9" t="n">
        <f aca="false">G44/F44</f>
        <v>2.9</v>
      </c>
      <c r="I44" s="7" t="n">
        <v>1</v>
      </c>
      <c r="J44" s="8" t="n">
        <f aca="false">ROUNDUP(I44/F44,0)*G44</f>
        <v>2.9</v>
      </c>
      <c r="K44" s="7" t="s">
        <v>133</v>
      </c>
      <c r="L44" s="7" t="s">
        <v>103</v>
      </c>
      <c r="M44" s="10" t="s">
        <v>274</v>
      </c>
      <c r="N44" s="7" t="s">
        <v>105</v>
      </c>
      <c r="O44" s="7" t="s">
        <v>275</v>
      </c>
      <c r="P44" s="7" t="s">
        <v>113</v>
      </c>
    </row>
    <row r="45" customFormat="false" ht="27.75" hidden="false" customHeight="true" outlineLevel="0" collapsed="false">
      <c r="A45" s="7" t="n">
        <v>20</v>
      </c>
      <c r="B45" s="7" t="s">
        <v>276</v>
      </c>
      <c r="C45" s="7" t="s">
        <v>130</v>
      </c>
      <c r="D45" s="7" t="s">
        <v>277</v>
      </c>
      <c r="E45" s="7" t="s">
        <v>278</v>
      </c>
      <c r="F45" s="7" t="n">
        <v>1</v>
      </c>
      <c r="G45" s="8" t="n">
        <v>0.6</v>
      </c>
      <c r="H45" s="9" t="n">
        <f aca="false">G45/F45</f>
        <v>0.6</v>
      </c>
      <c r="I45" s="7" t="n">
        <v>1</v>
      </c>
      <c r="J45" s="8" t="n">
        <f aca="false">ROUNDUP(I45/F45,0)*G45</f>
        <v>0.6</v>
      </c>
      <c r="K45" s="7" t="s">
        <v>133</v>
      </c>
      <c r="L45" s="7" t="s">
        <v>103</v>
      </c>
      <c r="M45" s="10" t="s">
        <v>279</v>
      </c>
      <c r="N45" s="7" t="s">
        <v>105</v>
      </c>
      <c r="O45" s="7"/>
      <c r="P45" s="7" t="s">
        <v>113</v>
      </c>
    </row>
    <row r="46" customFormat="false" ht="27.75" hidden="false" customHeight="true" outlineLevel="0" collapsed="false">
      <c r="A46" s="7" t="n">
        <v>21</v>
      </c>
      <c r="B46" s="7" t="s">
        <v>280</v>
      </c>
      <c r="C46" s="7" t="s">
        <v>130</v>
      </c>
      <c r="D46" s="7" t="s">
        <v>281</v>
      </c>
      <c r="E46" s="7" t="s">
        <v>101</v>
      </c>
      <c r="F46" s="7" t="n">
        <v>1</v>
      </c>
      <c r="G46" s="8" t="n">
        <v>0.9</v>
      </c>
      <c r="H46" s="9" t="n">
        <f aca="false">G46/F46</f>
        <v>0.9</v>
      </c>
      <c r="I46" s="7" t="n">
        <v>1</v>
      </c>
      <c r="J46" s="8" t="n">
        <f aca="false">ROUNDUP(I46/F46,0)*G46</f>
        <v>0.9</v>
      </c>
      <c r="K46" s="7" t="s">
        <v>133</v>
      </c>
      <c r="L46" s="7" t="s">
        <v>103</v>
      </c>
      <c r="M46" s="10" t="s">
        <v>282</v>
      </c>
      <c r="N46" s="7" t="s">
        <v>105</v>
      </c>
      <c r="O46" s="7" t="s">
        <v>283</v>
      </c>
      <c r="P46" s="7" t="s">
        <v>113</v>
      </c>
    </row>
    <row r="47" customFormat="false" ht="27.75" hidden="false" customHeight="true" outlineLevel="0" collapsed="false">
      <c r="A47" s="7" t="n">
        <v>22</v>
      </c>
      <c r="B47" s="7" t="s">
        <v>284</v>
      </c>
      <c r="C47" s="7" t="s">
        <v>99</v>
      </c>
      <c r="D47" s="7" t="s">
        <v>285</v>
      </c>
      <c r="E47" s="7" t="s">
        <v>286</v>
      </c>
      <c r="F47" s="7" t="n">
        <v>1000</v>
      </c>
      <c r="G47" s="8" t="n">
        <v>14.99</v>
      </c>
      <c r="H47" s="9" t="n">
        <f aca="false">G47/F47</f>
        <v>0.01499</v>
      </c>
      <c r="I47" s="7" t="n">
        <v>128</v>
      </c>
      <c r="J47" s="8" t="n">
        <f aca="false">ROUNDUP(I47/F47,0)*G47</f>
        <v>14.99</v>
      </c>
      <c r="K47" s="7" t="s">
        <v>102</v>
      </c>
      <c r="L47" s="7" t="s">
        <v>103</v>
      </c>
      <c r="M47" s="10" t="s">
        <v>287</v>
      </c>
      <c r="N47" s="7" t="s">
        <v>105</v>
      </c>
      <c r="O47" s="7" t="s">
        <v>288</v>
      </c>
      <c r="P47" s="7" t="s">
        <v>113</v>
      </c>
    </row>
    <row r="48" customFormat="false" ht="27.75" hidden="false" customHeight="true" outlineLevel="0" collapsed="false">
      <c r="A48" s="7" t="n">
        <v>23</v>
      </c>
      <c r="B48" s="7" t="s">
        <v>289</v>
      </c>
      <c r="C48" s="7" t="s">
        <v>99</v>
      </c>
      <c r="D48" s="7" t="s">
        <v>290</v>
      </c>
      <c r="E48" s="7" t="s">
        <v>291</v>
      </c>
      <c r="F48" s="7" t="n">
        <v>1</v>
      </c>
      <c r="G48" s="8" t="n">
        <v>6.99</v>
      </c>
      <c r="H48" s="9" t="n">
        <f aca="false">G48/F48</f>
        <v>6.99</v>
      </c>
      <c r="I48" s="7" t="n">
        <v>1</v>
      </c>
      <c r="J48" s="8" t="n">
        <f aca="false">ROUNDUP(I48/F48,0)*G48</f>
        <v>6.99</v>
      </c>
      <c r="K48" s="7" t="s">
        <v>102</v>
      </c>
      <c r="L48" s="7" t="s">
        <v>103</v>
      </c>
      <c r="M48" s="10" t="s">
        <v>292</v>
      </c>
      <c r="N48" s="7" t="s">
        <v>105</v>
      </c>
      <c r="O48" s="7" t="s">
        <v>293</v>
      </c>
      <c r="P48" s="7" t="s">
        <v>113</v>
      </c>
    </row>
    <row r="49" customFormat="false" ht="27.75" hidden="false" customHeight="true" outlineLevel="0" collapsed="false">
      <c r="A49" s="7" t="n">
        <v>5</v>
      </c>
      <c r="B49" s="7" t="s">
        <v>294</v>
      </c>
      <c r="C49" s="7" t="s">
        <v>136</v>
      </c>
      <c r="D49" s="7" t="s">
        <v>295</v>
      </c>
      <c r="E49" s="7" t="s">
        <v>218</v>
      </c>
      <c r="F49" s="7" t="n">
        <v>1</v>
      </c>
      <c r="G49" s="8" t="n">
        <v>0.17</v>
      </c>
      <c r="H49" s="9" t="n">
        <f aca="false">G49/F49</f>
        <v>0.17</v>
      </c>
      <c r="I49" s="7" t="n">
        <v>2</v>
      </c>
      <c r="J49" s="8" t="n">
        <f aca="false">ROUNDUP(I49/F49,0)*G49</f>
        <v>0.34</v>
      </c>
      <c r="K49" s="7" t="s">
        <v>296</v>
      </c>
      <c r="L49" s="7" t="s">
        <v>139</v>
      </c>
      <c r="M49" s="10" t="s">
        <v>297</v>
      </c>
      <c r="N49" s="7" t="s">
        <v>298</v>
      </c>
      <c r="O49" s="7" t="s">
        <v>299</v>
      </c>
      <c r="P49" s="7" t="s">
        <v>113</v>
      </c>
    </row>
    <row r="50" customFormat="false" ht="27.75" hidden="false" customHeight="true" outlineLevel="0" collapsed="false">
      <c r="A50" s="7" t="n">
        <v>24</v>
      </c>
      <c r="B50" s="7" t="s">
        <v>300</v>
      </c>
      <c r="C50" s="7" t="s">
        <v>130</v>
      </c>
      <c r="D50" s="7" t="s">
        <v>301</v>
      </c>
      <c r="E50" s="7" t="s">
        <v>218</v>
      </c>
      <c r="F50" s="7" t="n">
        <v>1</v>
      </c>
      <c r="G50" s="8" t="n">
        <v>0.17</v>
      </c>
      <c r="H50" s="9" t="n">
        <f aca="false">G50/F50</f>
        <v>0.17</v>
      </c>
      <c r="I50" s="7" t="n">
        <v>1</v>
      </c>
      <c r="J50" s="8" t="n">
        <f aca="false">ROUNDUP(I50/F50,0)*G50</f>
        <v>0.17</v>
      </c>
      <c r="K50" s="7" t="s">
        <v>133</v>
      </c>
      <c r="L50" s="7" t="s">
        <v>103</v>
      </c>
      <c r="M50" s="10" t="s">
        <v>302</v>
      </c>
      <c r="N50" s="7" t="s">
        <v>298</v>
      </c>
      <c r="O50" s="7" t="s">
        <v>303</v>
      </c>
      <c r="P50" s="7" t="s">
        <v>113</v>
      </c>
    </row>
    <row r="51" customFormat="false" ht="27.75" hidden="false" customHeight="true" outlineLevel="0" collapsed="false">
      <c r="A51" s="7" t="n">
        <v>25</v>
      </c>
      <c r="B51" s="7" t="s">
        <v>63</v>
      </c>
      <c r="C51" s="7" t="s">
        <v>130</v>
      </c>
      <c r="D51" s="7" t="s">
        <v>304</v>
      </c>
      <c r="E51" s="7" t="s">
        <v>218</v>
      </c>
      <c r="F51" s="7" t="n">
        <v>1</v>
      </c>
      <c r="G51" s="8" t="n">
        <v>0.05</v>
      </c>
      <c r="H51" s="9" t="n">
        <f aca="false">G51/F51</f>
        <v>0.05</v>
      </c>
      <c r="I51" s="7" t="n">
        <v>1</v>
      </c>
      <c r="J51" s="8" t="n">
        <f aca="false">ROUNDUP(I51/F51,0)*G51</f>
        <v>0.05</v>
      </c>
      <c r="K51" s="7" t="s">
        <v>133</v>
      </c>
      <c r="L51" s="7" t="s">
        <v>103</v>
      </c>
      <c r="M51" s="10" t="s">
        <v>305</v>
      </c>
      <c r="N51" s="7" t="s">
        <v>298</v>
      </c>
      <c r="O51" s="7" t="s">
        <v>64</v>
      </c>
      <c r="P51" s="7" t="s">
        <v>113</v>
      </c>
    </row>
    <row r="52" customFormat="false" ht="27.75" hidden="false" customHeight="true" outlineLevel="0" collapsed="false">
      <c r="A52" s="7" t="n">
        <v>26</v>
      </c>
      <c r="B52" s="7" t="s">
        <v>65</v>
      </c>
      <c r="C52" s="7" t="s">
        <v>130</v>
      </c>
      <c r="D52" s="7" t="s">
        <v>306</v>
      </c>
      <c r="E52" s="7" t="s">
        <v>218</v>
      </c>
      <c r="F52" s="7" t="n">
        <v>1</v>
      </c>
      <c r="G52" s="8" t="n">
        <v>0.06</v>
      </c>
      <c r="H52" s="9" t="n">
        <f aca="false">G52/F52</f>
        <v>0.06</v>
      </c>
      <c r="I52" s="7" t="n">
        <v>1</v>
      </c>
      <c r="J52" s="8" t="n">
        <f aca="false">ROUNDUP(I52/F52,0)*G52</f>
        <v>0.06</v>
      </c>
      <c r="K52" s="7" t="s">
        <v>133</v>
      </c>
      <c r="L52" s="7" t="s">
        <v>103</v>
      </c>
      <c r="M52" s="10" t="s">
        <v>307</v>
      </c>
      <c r="N52" s="7" t="s">
        <v>298</v>
      </c>
      <c r="O52" s="7" t="s">
        <v>66</v>
      </c>
      <c r="P52" s="7" t="s">
        <v>113</v>
      </c>
    </row>
    <row r="53" customFormat="false" ht="27.75" hidden="false" customHeight="true" outlineLevel="0" collapsed="false">
      <c r="A53" s="7" t="n">
        <v>27</v>
      </c>
      <c r="B53" s="7" t="s">
        <v>67</v>
      </c>
      <c r="C53" s="7" t="s">
        <v>130</v>
      </c>
      <c r="D53" s="7" t="s">
        <v>308</v>
      </c>
      <c r="E53" s="7" t="s">
        <v>218</v>
      </c>
      <c r="F53" s="7" t="n">
        <v>1</v>
      </c>
      <c r="G53" s="8" t="n">
        <v>0.05</v>
      </c>
      <c r="H53" s="9" t="n">
        <f aca="false">G53/F53</f>
        <v>0.05</v>
      </c>
      <c r="I53" s="7" t="n">
        <v>2</v>
      </c>
      <c r="J53" s="8" t="n">
        <f aca="false">ROUNDUP(I53/F53,0)*G53</f>
        <v>0.1</v>
      </c>
      <c r="K53" s="7" t="s">
        <v>133</v>
      </c>
      <c r="L53" s="7" t="s">
        <v>103</v>
      </c>
      <c r="M53" s="10" t="s">
        <v>309</v>
      </c>
      <c r="N53" s="7" t="s">
        <v>298</v>
      </c>
      <c r="O53" s="7" t="s">
        <v>310</v>
      </c>
      <c r="P53" s="7" t="s">
        <v>113</v>
      </c>
    </row>
    <row r="54" customFormat="false" ht="27.75" hidden="false" customHeight="true" outlineLevel="0" collapsed="false">
      <c r="A54" s="7" t="n">
        <v>28</v>
      </c>
      <c r="B54" s="7" t="s">
        <v>311</v>
      </c>
      <c r="C54" s="7" t="s">
        <v>130</v>
      </c>
      <c r="D54" s="7" t="s">
        <v>312</v>
      </c>
      <c r="E54" s="7" t="s">
        <v>218</v>
      </c>
      <c r="F54" s="7" t="n">
        <v>1</v>
      </c>
      <c r="G54" s="8" t="n">
        <v>0.05</v>
      </c>
      <c r="H54" s="9" t="n">
        <f aca="false">G54/F54</f>
        <v>0.05</v>
      </c>
      <c r="I54" s="7" t="n">
        <v>1</v>
      </c>
      <c r="J54" s="8" t="n">
        <f aca="false">ROUNDUP(I54/F54,0)*G54</f>
        <v>0.05</v>
      </c>
      <c r="K54" s="7" t="s">
        <v>133</v>
      </c>
      <c r="L54" s="7" t="s">
        <v>103</v>
      </c>
      <c r="M54" s="10" t="s">
        <v>246</v>
      </c>
      <c r="N54" s="7" t="s">
        <v>298</v>
      </c>
      <c r="O54" s="7" t="s">
        <v>313</v>
      </c>
      <c r="P54" s="7" t="s">
        <v>113</v>
      </c>
    </row>
    <row r="55" customFormat="false" ht="27.75" hidden="false" customHeight="true" outlineLevel="0" collapsed="false">
      <c r="A55" s="7" t="n">
        <v>29</v>
      </c>
      <c r="B55" s="7" t="s">
        <v>314</v>
      </c>
      <c r="C55" s="7" t="s">
        <v>130</v>
      </c>
      <c r="D55" s="7" t="s">
        <v>315</v>
      </c>
      <c r="E55" s="7" t="s">
        <v>218</v>
      </c>
      <c r="F55" s="7" t="n">
        <v>1</v>
      </c>
      <c r="G55" s="8" t="n">
        <v>0.32</v>
      </c>
      <c r="H55" s="9" t="n">
        <f aca="false">G55/F55</f>
        <v>0.32</v>
      </c>
      <c r="I55" s="7" t="n">
        <v>2</v>
      </c>
      <c r="J55" s="8" t="n">
        <f aca="false">ROUNDUP(I55/F55,0)*G55</f>
        <v>0.64</v>
      </c>
      <c r="K55" s="7" t="s">
        <v>133</v>
      </c>
      <c r="L55" s="7" t="s">
        <v>103</v>
      </c>
      <c r="M55" s="10" t="s">
        <v>316</v>
      </c>
      <c r="N55" s="7" t="s">
        <v>298</v>
      </c>
      <c r="O55" s="7" t="s">
        <v>317</v>
      </c>
      <c r="P55" s="7" t="s">
        <v>113</v>
      </c>
    </row>
    <row r="56" customFormat="false" ht="27.75" hidden="false" customHeight="true" outlineLevel="0" collapsed="false">
      <c r="A56" s="7" t="n">
        <v>30</v>
      </c>
      <c r="B56" s="7" t="s">
        <v>318</v>
      </c>
      <c r="C56" s="7" t="s">
        <v>130</v>
      </c>
      <c r="D56" s="7" t="s">
        <v>319</v>
      </c>
      <c r="E56" s="7" t="s">
        <v>218</v>
      </c>
      <c r="F56" s="7" t="n">
        <v>1</v>
      </c>
      <c r="G56" s="8" t="n">
        <v>0.2</v>
      </c>
      <c r="H56" s="9" t="n">
        <f aca="false">G56/F56</f>
        <v>0.2</v>
      </c>
      <c r="I56" s="7" t="n">
        <v>1</v>
      </c>
      <c r="J56" s="8" t="n">
        <f aca="false">ROUNDUP(I56/F56,0)*G56</f>
        <v>0.2</v>
      </c>
      <c r="K56" s="7" t="s">
        <v>133</v>
      </c>
      <c r="L56" s="7" t="s">
        <v>103</v>
      </c>
      <c r="M56" s="10" t="s">
        <v>320</v>
      </c>
      <c r="N56" s="7" t="s">
        <v>298</v>
      </c>
      <c r="O56" s="7" t="s">
        <v>321</v>
      </c>
      <c r="P56" s="7" t="s">
        <v>113</v>
      </c>
    </row>
    <row r="57" customFormat="false" ht="27.75" hidden="false" customHeight="true" outlineLevel="0" collapsed="false">
      <c r="A57" s="7" t="n">
        <v>31</v>
      </c>
      <c r="B57" s="7" t="s">
        <v>322</v>
      </c>
      <c r="C57" s="7" t="s">
        <v>130</v>
      </c>
      <c r="D57" s="7" t="s">
        <v>323</v>
      </c>
      <c r="E57" s="7" t="s">
        <v>218</v>
      </c>
      <c r="F57" s="7" t="n">
        <v>1</v>
      </c>
      <c r="G57" s="8" t="n">
        <v>0.1</v>
      </c>
      <c r="H57" s="9" t="n">
        <f aca="false">G57/F57</f>
        <v>0.1</v>
      </c>
      <c r="I57" s="7" t="n">
        <v>1</v>
      </c>
      <c r="J57" s="8" t="n">
        <f aca="false">ROUNDUP(I57/F57,0)*G57</f>
        <v>0.1</v>
      </c>
      <c r="K57" s="7" t="s">
        <v>133</v>
      </c>
      <c r="L57" s="7" t="s">
        <v>103</v>
      </c>
      <c r="M57" s="10" t="s">
        <v>324</v>
      </c>
      <c r="N57" s="7" t="s">
        <v>298</v>
      </c>
      <c r="O57" s="7" t="s">
        <v>325</v>
      </c>
      <c r="P57" s="7" t="s">
        <v>113</v>
      </c>
    </row>
    <row r="58" customFormat="false" ht="27.75" hidden="false" customHeight="true" outlineLevel="0" collapsed="false">
      <c r="A58" s="7" t="n">
        <v>32</v>
      </c>
      <c r="B58" s="7" t="s">
        <v>326</v>
      </c>
      <c r="C58" s="7" t="s">
        <v>130</v>
      </c>
      <c r="D58" s="7" t="s">
        <v>327</v>
      </c>
      <c r="E58" s="7" t="s">
        <v>218</v>
      </c>
      <c r="F58" s="7" t="n">
        <v>1</v>
      </c>
      <c r="G58" s="8" t="n">
        <v>1.1</v>
      </c>
      <c r="H58" s="9" t="n">
        <f aca="false">G58/F58</f>
        <v>1.1</v>
      </c>
      <c r="I58" s="7" t="n">
        <v>1</v>
      </c>
      <c r="J58" s="8" t="n">
        <f aca="false">ROUNDUP(I58/F58,0)*G58</f>
        <v>1.1</v>
      </c>
      <c r="K58" s="7" t="s">
        <v>133</v>
      </c>
      <c r="L58" s="7" t="s">
        <v>103</v>
      </c>
      <c r="M58" s="10" t="s">
        <v>328</v>
      </c>
      <c r="N58" s="7" t="s">
        <v>298</v>
      </c>
      <c r="O58" s="7" t="s">
        <v>329</v>
      </c>
      <c r="P58" s="7" t="s">
        <v>113</v>
      </c>
    </row>
    <row r="59" customFormat="false" ht="27.75" hidden="false" customHeight="true" outlineLevel="0" collapsed="false">
      <c r="A59" s="7" t="n">
        <v>33</v>
      </c>
      <c r="B59" s="7" t="s">
        <v>330</v>
      </c>
      <c r="C59" s="7" t="s">
        <v>130</v>
      </c>
      <c r="D59" s="7" t="s">
        <v>331</v>
      </c>
      <c r="E59" s="7" t="s">
        <v>218</v>
      </c>
      <c r="F59" s="7" t="n">
        <v>1</v>
      </c>
      <c r="G59" s="8" t="n">
        <v>0.7</v>
      </c>
      <c r="H59" s="9" t="n">
        <f aca="false">G59/F59</f>
        <v>0.7</v>
      </c>
      <c r="I59" s="7" t="n">
        <v>1</v>
      </c>
      <c r="J59" s="8" t="n">
        <f aca="false">ROUNDUP(I59/F59,0)*G59</f>
        <v>0.7</v>
      </c>
      <c r="K59" s="7" t="s">
        <v>133</v>
      </c>
      <c r="L59" s="7" t="s">
        <v>103</v>
      </c>
      <c r="M59" s="10" t="s">
        <v>332</v>
      </c>
      <c r="N59" s="7" t="s">
        <v>298</v>
      </c>
      <c r="O59" s="7" t="s">
        <v>333</v>
      </c>
      <c r="P59" s="7" t="s">
        <v>113</v>
      </c>
    </row>
    <row r="61" customFormat="false" ht="15" hidden="false" customHeight="true" outlineLevel="0" collapsed="false">
      <c r="A61" s="1" t="s">
        <v>334</v>
      </c>
    </row>
    <row r="62" customFormat="false" ht="15" hidden="false" customHeight="true" outlineLevel="0" collapsed="false">
      <c r="A62" s="1" t="s">
        <v>335</v>
      </c>
    </row>
  </sheetData>
  <hyperlinks>
    <hyperlink ref="M2" r:id="rId1" display="https://www.amazon.de/dp/B0G1N16Q16"/>
    <hyperlink ref="M3" r:id="rId2" display="https://de.aliexpress.com/item/1005009535167188.html"/>
    <hyperlink ref="M4" r:id="rId3" display="https://de.aliexpress.com/item/1005007708576179.html"/>
    <hyperlink ref="M6" r:id="rId4" display="https://www.amazon.de/dp/B0B9H3YMT2"/>
    <hyperlink ref="M7" r:id="rId5" display="https://de.aliexpress.com/item/1005009230467552.html"/>
    <hyperlink ref="M8" r:id="rId6" display="https://www.berrybase.de/dehnungsmessstreifen-waegezelle-5kg"/>
    <hyperlink ref="M10" r:id="rId7" display="https://www.amazon.de/dp/B0H41MCVSW"/>
    <hyperlink ref="M11" r:id="rId8" display="https://de.aliexpress.com/item/1005006422072860.html"/>
    <hyperlink ref="M12" r:id="rId9" display="https://www.amazon.de/dp/B088BRY2SH"/>
    <hyperlink ref="M13" r:id="rId10" display="https://de.aliexpress.com/item/1005008750140385.html"/>
    <hyperlink ref="M14" r:id="rId11" display="https://www.berrybase.de/regensensor-mit-digitalem-und-analogem-ausgang"/>
    <hyperlink ref="M15" r:id="rId12" display="https://www.reichelt.de/de/de/shop/produkt/entwicklerboards_-_regentrofpen-_feuchtigkeits-sensormodul-282565"/>
    <hyperlink ref="M16" r:id="rId13" display="https://www.amazon.de/dp/B017M1NJR0"/>
    <hyperlink ref="M17" r:id="rId14" display="https://de.aliexpress.com/item/1005007987689565.html"/>
    <hyperlink ref="M18" r:id="rId15" display="https://www.amazon.de/dp/B0DG8B58PM"/>
    <hyperlink ref="M19" r:id="rId16" display="https://www.amazon.de/dp/B08214DJLJ"/>
    <hyperlink ref="M21" r:id="rId17" display="https://www.amazon.de/dp/B0F67KYB4F"/>
    <hyperlink ref="M22" r:id="rId18" display="https://de.aliexpress.com/item/1005013255677257.html"/>
    <hyperlink ref="M23" r:id="rId19" display="https://www.berrybase.de/ladeplatine-fuer-3-7v-liion-lipo-akkus-mit-ausgang-micro-usb-loetpads-1000ma"/>
    <hyperlink ref="M24" r:id="rId20" display="https://www.berrybase.de/pololu-s13v10f5-5v-1a-step-up-step-down-converter"/>
    <hyperlink ref="M25" r:id="rId21" display="https://www.berrybase.de/pololu-s13v20f5-5v-2a-step-up-step-down-spannungsregler"/>
    <hyperlink ref="M26" r:id="rId22" display="https://de.aliexpress.com/item/1005009806778521.html"/>
    <hyperlink ref="M27" r:id="rId23" display="https://www.amazon.de/dp/B07YWKN9NW"/>
    <hyperlink ref="M28" r:id="rId24" display="https://alleschrauben.de/Schrauben/Senkkopf/Senkkopfschrauben-DIN-7991/Senkkopfschrauben-M3x12-mit-Innensechskant-DIN-7991-Edelstahl-A2"/>
    <hyperlink ref="M29" r:id="rId25" display="https://alleschrauben.de/Schrauben/Senkkopf/Senkkopfschrauben-DIN-7991/Senkkopfschrauben-M4x10-mit-Innensechskant-DIN-7991-Edelstahl-A2"/>
    <hyperlink ref="M30" r:id="rId26" display="https://www.reichelt.de/de/de/shop/produkt/flach-senkkopfschrauben_kreuzschlitz_pzd_m4_10_mm_50_stueck-65750"/>
    <hyperlink ref="M31" r:id="rId27" display="https://alleschrauben.de/Schrauben/Senkkopf/Senkkopfschrauben-DIN-7991/Senkkopfschrauben-M5x12-mit-Innensechskant-DIN-7991-Edelstahl-A2"/>
    <hyperlink ref="M32" r:id="rId28" display="https://www.berrybase.de/fix-fasten-selbstklebender-fuss-rund-oben-9-5mm-unten-10mm-hoehe-4-5mm-gummi-schwarz"/>
    <hyperlink ref="M33" r:id="rId29" display="https://www.amazon.de/dp/B09LDCTQGY"/>
    <hyperlink ref="M34" r:id="rId30" display="https://www.amazon.de/dp/B0GVNMS4DZ"/>
    <hyperlink ref="M35" r:id="rId31" display="https://www.reichelt.de/de/de/shop/produkt/widerstand_metallschicht_100_kohm_0207_0_6_w_1_-11458"/>
    <hyperlink ref="M36" r:id="rId32" display="https://www.berrybase.de/metallschichtwiderstand-100-0-kohm-1-4w-1-0207-axial-durchsteckmontage"/>
    <hyperlink ref="M37" r:id="rId33" display="https://www.berrybase.de/metallschichtwiderstand-10-0-kohm-1-4w-1-0207-axial-durchsteckmontage"/>
    <hyperlink ref="M38" r:id="rId34" display="https://www.berrybase.de/vierlingslitze-isoliert-4x0-14mm-5m-farbe-blau-gelb-rot-gruen"/>
    <hyperlink ref="M39" r:id="rId35" display="https://www.berrybase.de/vierlingslitze-isoliert-4x0-25mm-fuer-rgb-led-stripes-5m"/>
    <hyperlink ref="M40" r:id="rId36" display="https://de.aliexpress.com/item/1005008607415668.html"/>
    <hyperlink ref="M41" r:id="rId37" display="https://de.aliexpress.com/item/4001171710583.html"/>
    <hyperlink ref="M42" r:id="rId38" display="https://de.aliexpress.com/item/1005009886368149.html"/>
    <hyperlink ref="M43" r:id="rId39" display="https://www.berrybase.de/schrumpfschlauch-set-100-teilig-in-sortimentsbox-schwarz"/>
    <hyperlink ref="M44" r:id="rId40" display="https://www.berrybase.de/tesa-doppelseitiges-klebeband-10m-x-12mm-transparent-pp-traeger-loesungsmittelfrei"/>
    <hyperlink ref="M45" r:id="rId41" display="https://www.berrybase.de/kabelbinder-uv-bestaendig-nylon-100-stueck/farbe-transparent/masse-100x2-5mm"/>
    <hyperlink ref="M46" r:id="rId42" display="https://www.berrybase.de/verlaengerungskabel-2-pin-jst-ph-2.0mm-stecker-buchse-awg24-50cm"/>
    <hyperlink ref="M47" r:id="rId43" display="https://www.amazon.de/dp/B0BTHSVQ89"/>
    <hyperlink ref="M48" r:id="rId44" display="https://www.amazon.de/dp/B01EV70C7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48"/>
    <col collapsed="false" customWidth="true" hidden="false" outlineLevel="0" max="9" min="9" style="1" width="40"/>
  </cols>
  <sheetData>
    <row r="1" customFormat="false" ht="15.75" hidden="false" customHeight="true" outlineLevel="0" collapsed="false">
      <c r="A1" s="15" t="s">
        <v>336</v>
      </c>
    </row>
    <row r="2" customFormat="false" ht="27.75" hidden="false" customHeight="true" outlineLevel="0" collapsed="false">
      <c r="A2" s="2" t="s">
        <v>0</v>
      </c>
      <c r="B2" s="2" t="s">
        <v>1</v>
      </c>
      <c r="C2" s="2" t="s">
        <v>84</v>
      </c>
      <c r="D2" s="2" t="s">
        <v>337</v>
      </c>
      <c r="E2" s="2" t="s">
        <v>338</v>
      </c>
      <c r="F2" s="2" t="s">
        <v>339</v>
      </c>
      <c r="G2" s="2" t="s">
        <v>340</v>
      </c>
      <c r="H2" s="2" t="s">
        <v>94</v>
      </c>
      <c r="I2" s="2" t="s">
        <v>341</v>
      </c>
    </row>
    <row r="3" customFormat="false" ht="15" hidden="false" customHeight="true" outlineLevel="0" collapsed="false">
      <c r="A3" s="3" t="n">
        <v>1</v>
      </c>
      <c r="B3" s="3" t="s">
        <v>98</v>
      </c>
      <c r="C3" s="3" t="s">
        <v>99</v>
      </c>
      <c r="D3" s="3" t="s">
        <v>342</v>
      </c>
      <c r="E3" s="3" t="n">
        <v>1</v>
      </c>
      <c r="F3" s="4" t="n">
        <v>17.99</v>
      </c>
      <c r="G3" s="4" t="n">
        <f aca="false">E3*F3</f>
        <v>17.99</v>
      </c>
      <c r="H3" s="6" t="s">
        <v>104</v>
      </c>
      <c r="I3" s="3"/>
    </row>
    <row r="4" customFormat="false" ht="15" hidden="false" customHeight="true" outlineLevel="0" collapsed="false">
      <c r="A4" s="3" t="n">
        <v>2</v>
      </c>
      <c r="B4" s="3" t="s">
        <v>10</v>
      </c>
      <c r="C4" s="3" t="s">
        <v>99</v>
      </c>
      <c r="D4" s="3" t="s">
        <v>343</v>
      </c>
      <c r="E4" s="3" t="n">
        <v>1</v>
      </c>
      <c r="F4" s="4" t="n">
        <v>8.97</v>
      </c>
      <c r="G4" s="4" t="n">
        <f aca="false">E4*F4</f>
        <v>8.97</v>
      </c>
      <c r="H4" s="6" t="s">
        <v>124</v>
      </c>
      <c r="I4" s="3" t="s">
        <v>344</v>
      </c>
    </row>
    <row r="5" customFormat="false" ht="15" hidden="false" customHeight="true" outlineLevel="0" collapsed="false">
      <c r="A5" s="3" t="n">
        <v>3</v>
      </c>
      <c r="B5" s="3" t="s">
        <v>345</v>
      </c>
      <c r="C5" s="3" t="s">
        <v>99</v>
      </c>
      <c r="D5" s="3" t="s">
        <v>346</v>
      </c>
      <c r="E5" s="3" t="n">
        <v>1</v>
      </c>
      <c r="F5" s="4" t="n">
        <v>16.99</v>
      </c>
      <c r="G5" s="4" t="n">
        <f aca="false">E5*F5</f>
        <v>16.99</v>
      </c>
      <c r="H5" s="6" t="s">
        <v>144</v>
      </c>
      <c r="I5" s="3" t="s">
        <v>347</v>
      </c>
    </row>
    <row r="6" customFormat="false" ht="15" hidden="false" customHeight="true" outlineLevel="0" collapsed="false">
      <c r="A6" s="3" t="n">
        <v>5</v>
      </c>
      <c r="B6" s="3" t="s">
        <v>294</v>
      </c>
      <c r="C6" s="3" t="s">
        <v>136</v>
      </c>
      <c r="D6" s="3" t="s">
        <v>348</v>
      </c>
      <c r="E6" s="3" t="n">
        <v>2</v>
      </c>
      <c r="F6" s="4" t="n">
        <v>0.17</v>
      </c>
      <c r="G6" s="4" t="n">
        <f aca="false">E6*F6</f>
        <v>0.34</v>
      </c>
      <c r="H6" s="6" t="s">
        <v>297</v>
      </c>
      <c r="I6" s="3" t="s">
        <v>349</v>
      </c>
    </row>
    <row r="7" customFormat="false" ht="15" hidden="false" customHeight="true" outlineLevel="0" collapsed="false">
      <c r="A7" s="3" t="n">
        <v>6</v>
      </c>
      <c r="B7" s="3" t="s">
        <v>175</v>
      </c>
      <c r="C7" s="3" t="s">
        <v>99</v>
      </c>
      <c r="D7" s="3" t="s">
        <v>350</v>
      </c>
      <c r="E7" s="3" t="n">
        <v>1</v>
      </c>
      <c r="F7" s="4" t="n">
        <v>10.99</v>
      </c>
      <c r="G7" s="4" t="n">
        <f aca="false">E7*F7</f>
        <v>10.99</v>
      </c>
      <c r="H7" s="6" t="s">
        <v>177</v>
      </c>
      <c r="I7" s="3" t="s">
        <v>351</v>
      </c>
    </row>
    <row r="8" customFormat="false" ht="15" hidden="false" customHeight="true" outlineLevel="0" collapsed="false">
      <c r="A8" s="3" t="n">
        <v>7</v>
      </c>
      <c r="B8" s="3" t="s">
        <v>181</v>
      </c>
      <c r="C8" s="3" t="s">
        <v>99</v>
      </c>
      <c r="D8" s="3" t="s">
        <v>352</v>
      </c>
      <c r="E8" s="3" t="n">
        <v>1</v>
      </c>
      <c r="F8" s="4" t="n">
        <v>6.99</v>
      </c>
      <c r="G8" s="4" t="n">
        <f aca="false">E8*F8</f>
        <v>6.99</v>
      </c>
      <c r="H8" s="6" t="s">
        <v>184</v>
      </c>
      <c r="I8" s="3" t="s">
        <v>353</v>
      </c>
    </row>
    <row r="9" customFormat="false" ht="15" hidden="false" customHeight="true" outlineLevel="0" collapsed="false">
      <c r="A9" s="3" t="n">
        <v>13</v>
      </c>
      <c r="B9" s="3" t="s">
        <v>234</v>
      </c>
      <c r="C9" s="3" t="s">
        <v>99</v>
      </c>
      <c r="D9" s="3" t="s">
        <v>354</v>
      </c>
      <c r="E9" s="3" t="n">
        <v>1</v>
      </c>
      <c r="F9" s="4" t="n">
        <v>7.59</v>
      </c>
      <c r="G9" s="4" t="n">
        <f aca="false">E9*F9</f>
        <v>7.59</v>
      </c>
      <c r="H9" s="6" t="s">
        <v>236</v>
      </c>
      <c r="I9" s="3"/>
    </row>
    <row r="10" customFormat="false" ht="15" hidden="false" customHeight="true" outlineLevel="0" collapsed="false">
      <c r="A10" s="3" t="n">
        <v>4</v>
      </c>
      <c r="B10" s="3" t="s">
        <v>157</v>
      </c>
      <c r="C10" s="3" t="s">
        <v>130</v>
      </c>
      <c r="D10" s="3" t="s">
        <v>355</v>
      </c>
      <c r="E10" s="3" t="n">
        <v>1</v>
      </c>
      <c r="F10" s="4" t="n">
        <v>1.8</v>
      </c>
      <c r="G10" s="4" t="n">
        <f aca="false">E10*F10</f>
        <v>1.8</v>
      </c>
      <c r="H10" s="6" t="s">
        <v>159</v>
      </c>
      <c r="I10" s="3"/>
    </row>
    <row r="11" customFormat="false" ht="15" hidden="false" customHeight="true" outlineLevel="0" collapsed="false">
      <c r="A11" s="3" t="n">
        <v>8</v>
      </c>
      <c r="B11" s="3" t="s">
        <v>193</v>
      </c>
      <c r="C11" s="3" t="s">
        <v>130</v>
      </c>
      <c r="D11" s="3" t="s">
        <v>356</v>
      </c>
      <c r="E11" s="3" t="n">
        <v>1</v>
      </c>
      <c r="F11" s="4" t="n">
        <v>9.95</v>
      </c>
      <c r="G11" s="4" t="n">
        <f aca="false">E11*F11</f>
        <v>9.95</v>
      </c>
      <c r="H11" s="6" t="s">
        <v>195</v>
      </c>
      <c r="I11" s="3" t="s">
        <v>357</v>
      </c>
    </row>
    <row r="12" customFormat="false" ht="15" hidden="false" customHeight="true" outlineLevel="0" collapsed="false">
      <c r="A12" s="3" t="n">
        <v>12</v>
      </c>
      <c r="B12" s="3" t="s">
        <v>227</v>
      </c>
      <c r="C12" s="3" t="s">
        <v>130</v>
      </c>
      <c r="D12" s="3" t="s">
        <v>358</v>
      </c>
      <c r="E12" s="3" t="n">
        <v>4</v>
      </c>
      <c r="F12" s="4" t="n">
        <v>0.15</v>
      </c>
      <c r="G12" s="4" t="n">
        <f aca="false">E12*F12</f>
        <v>0.6</v>
      </c>
      <c r="H12" s="6" t="s">
        <v>229</v>
      </c>
      <c r="I12" s="3"/>
    </row>
    <row r="13" customFormat="false" ht="15" hidden="false" customHeight="true" outlineLevel="0" collapsed="false">
      <c r="A13" s="3" t="n">
        <v>14</v>
      </c>
      <c r="B13" s="3" t="s">
        <v>359</v>
      </c>
      <c r="C13" s="3" t="s">
        <v>130</v>
      </c>
      <c r="D13" s="3" t="s">
        <v>360</v>
      </c>
      <c r="E13" s="3" t="n">
        <v>2</v>
      </c>
      <c r="F13" s="4" t="n">
        <v>0.05</v>
      </c>
      <c r="G13" s="4" t="n">
        <f aca="false">E13*F13</f>
        <v>0.1</v>
      </c>
      <c r="H13" s="6" t="s">
        <v>246</v>
      </c>
      <c r="I13" s="3" t="s">
        <v>361</v>
      </c>
    </row>
    <row r="14" customFormat="false" ht="15" hidden="false" customHeight="true" outlineLevel="0" collapsed="false">
      <c r="A14" s="3" t="n">
        <v>15</v>
      </c>
      <c r="B14" s="3" t="s">
        <v>248</v>
      </c>
      <c r="C14" s="3" t="s">
        <v>130</v>
      </c>
      <c r="D14" s="3" t="s">
        <v>362</v>
      </c>
      <c r="E14" s="3" t="n">
        <v>1</v>
      </c>
      <c r="F14" s="4" t="n">
        <v>3.5</v>
      </c>
      <c r="G14" s="4" t="n">
        <f aca="false">E14*F14</f>
        <v>3.5</v>
      </c>
      <c r="H14" s="6" t="s">
        <v>251</v>
      </c>
      <c r="I14" s="3"/>
    </row>
    <row r="15" customFormat="false" ht="15" hidden="false" customHeight="true" outlineLevel="0" collapsed="false">
      <c r="A15" s="3" t="n">
        <v>18</v>
      </c>
      <c r="B15" s="3" t="s">
        <v>269</v>
      </c>
      <c r="C15" s="3" t="s">
        <v>130</v>
      </c>
      <c r="D15" s="3" t="s">
        <v>363</v>
      </c>
      <c r="E15" s="3" t="n">
        <v>1</v>
      </c>
      <c r="F15" s="4" t="n">
        <v>2.8</v>
      </c>
      <c r="G15" s="4" t="n">
        <f aca="false">E15*F15</f>
        <v>2.8</v>
      </c>
      <c r="H15" s="6" t="s">
        <v>271</v>
      </c>
      <c r="I15" s="3"/>
    </row>
    <row r="16" customFormat="false" ht="15" hidden="false" customHeight="true" outlineLevel="0" collapsed="false">
      <c r="A16" s="3" t="n">
        <v>19</v>
      </c>
      <c r="B16" s="3" t="s">
        <v>272</v>
      </c>
      <c r="C16" s="3" t="s">
        <v>130</v>
      </c>
      <c r="D16" s="3" t="s">
        <v>364</v>
      </c>
      <c r="E16" s="3" t="n">
        <v>1</v>
      </c>
      <c r="F16" s="4" t="n">
        <v>2.9</v>
      </c>
      <c r="G16" s="4" t="n">
        <f aca="false">E16*F16</f>
        <v>2.9</v>
      </c>
      <c r="H16" s="6" t="s">
        <v>274</v>
      </c>
      <c r="I16" s="3" t="s">
        <v>365</v>
      </c>
    </row>
    <row r="17" customFormat="false" ht="15" hidden="false" customHeight="true" outlineLevel="0" collapsed="false">
      <c r="A17" s="3" t="n">
        <v>20</v>
      </c>
      <c r="B17" s="3" t="s">
        <v>276</v>
      </c>
      <c r="C17" s="3" t="s">
        <v>130</v>
      </c>
      <c r="D17" s="3" t="s">
        <v>366</v>
      </c>
      <c r="E17" s="3" t="n">
        <v>1</v>
      </c>
      <c r="F17" s="4" t="n">
        <v>0.6</v>
      </c>
      <c r="G17" s="4" t="n">
        <f aca="false">E17*F17</f>
        <v>0.6</v>
      </c>
      <c r="H17" s="6" t="s">
        <v>279</v>
      </c>
      <c r="I17" s="3"/>
    </row>
    <row r="18" customFormat="false" ht="15" hidden="false" customHeight="true" outlineLevel="0" collapsed="false">
      <c r="A18" s="3" t="n">
        <v>24</v>
      </c>
      <c r="B18" s="3" t="s">
        <v>300</v>
      </c>
      <c r="C18" s="3" t="s">
        <v>130</v>
      </c>
      <c r="D18" s="3" t="s">
        <v>367</v>
      </c>
      <c r="E18" s="3" t="n">
        <v>1</v>
      </c>
      <c r="F18" s="4" t="n">
        <v>0.17</v>
      </c>
      <c r="G18" s="4" t="n">
        <f aca="false">E18*F18</f>
        <v>0.17</v>
      </c>
      <c r="H18" s="6" t="s">
        <v>302</v>
      </c>
      <c r="I18" s="3" t="s">
        <v>303</v>
      </c>
    </row>
    <row r="19" customFormat="false" ht="15" hidden="false" customHeight="true" outlineLevel="0" collapsed="false">
      <c r="A19" s="3" t="n">
        <v>25</v>
      </c>
      <c r="B19" s="3" t="s">
        <v>63</v>
      </c>
      <c r="C19" s="3" t="s">
        <v>130</v>
      </c>
      <c r="D19" s="3" t="s">
        <v>368</v>
      </c>
      <c r="E19" s="3" t="n">
        <v>1</v>
      </c>
      <c r="F19" s="4" t="n">
        <v>0.05</v>
      </c>
      <c r="G19" s="4" t="n">
        <f aca="false">E19*F19</f>
        <v>0.05</v>
      </c>
      <c r="H19" s="6" t="s">
        <v>305</v>
      </c>
      <c r="I19" s="3" t="s">
        <v>64</v>
      </c>
    </row>
    <row r="20" customFormat="false" ht="15" hidden="false" customHeight="true" outlineLevel="0" collapsed="false">
      <c r="A20" s="3" t="n">
        <v>26</v>
      </c>
      <c r="B20" s="3" t="s">
        <v>65</v>
      </c>
      <c r="C20" s="3" t="s">
        <v>130</v>
      </c>
      <c r="D20" s="3" t="s">
        <v>369</v>
      </c>
      <c r="E20" s="3" t="n">
        <v>1</v>
      </c>
      <c r="F20" s="4" t="n">
        <v>0.06</v>
      </c>
      <c r="G20" s="4" t="n">
        <f aca="false">E20*F20</f>
        <v>0.06</v>
      </c>
      <c r="H20" s="6" t="s">
        <v>307</v>
      </c>
      <c r="I20" s="3" t="s">
        <v>66</v>
      </c>
    </row>
    <row r="21" customFormat="false" ht="15" hidden="false" customHeight="true" outlineLevel="0" collapsed="false">
      <c r="A21" s="3" t="n">
        <v>27</v>
      </c>
      <c r="B21" s="3" t="s">
        <v>67</v>
      </c>
      <c r="C21" s="3" t="s">
        <v>130</v>
      </c>
      <c r="D21" s="3" t="s">
        <v>370</v>
      </c>
      <c r="E21" s="3" t="n">
        <v>2</v>
      </c>
      <c r="F21" s="4" t="n">
        <v>0.05</v>
      </c>
      <c r="G21" s="4" t="n">
        <f aca="false">E21*F21</f>
        <v>0.1</v>
      </c>
      <c r="H21" s="6" t="s">
        <v>309</v>
      </c>
      <c r="I21" s="3" t="s">
        <v>310</v>
      </c>
    </row>
    <row r="22" customFormat="false" ht="15" hidden="false" customHeight="true" outlineLevel="0" collapsed="false">
      <c r="A22" s="3" t="n">
        <v>28</v>
      </c>
      <c r="B22" s="3" t="s">
        <v>311</v>
      </c>
      <c r="C22" s="3" t="s">
        <v>130</v>
      </c>
      <c r="D22" s="3" t="s">
        <v>360</v>
      </c>
      <c r="E22" s="3" t="n">
        <v>1</v>
      </c>
      <c r="F22" s="4" t="n">
        <v>0.05</v>
      </c>
      <c r="G22" s="4" t="n">
        <f aca="false">E22*F22</f>
        <v>0.05</v>
      </c>
      <c r="H22" s="6" t="s">
        <v>246</v>
      </c>
      <c r="I22" s="3" t="s">
        <v>313</v>
      </c>
    </row>
    <row r="23" customFormat="false" ht="15" hidden="false" customHeight="true" outlineLevel="0" collapsed="false">
      <c r="A23" s="3" t="n">
        <v>29</v>
      </c>
      <c r="B23" s="3" t="s">
        <v>314</v>
      </c>
      <c r="C23" s="3" t="s">
        <v>130</v>
      </c>
      <c r="D23" s="3" t="s">
        <v>371</v>
      </c>
      <c r="E23" s="3" t="n">
        <v>2</v>
      </c>
      <c r="F23" s="4" t="n">
        <v>0.32</v>
      </c>
      <c r="G23" s="4" t="n">
        <f aca="false">E23*F23</f>
        <v>0.64</v>
      </c>
      <c r="H23" s="6" t="s">
        <v>316</v>
      </c>
      <c r="I23" s="3" t="s">
        <v>317</v>
      </c>
    </row>
    <row r="24" customFormat="false" ht="15" hidden="false" customHeight="true" outlineLevel="0" collapsed="false">
      <c r="A24" s="3" t="n">
        <v>30</v>
      </c>
      <c r="B24" s="3" t="s">
        <v>318</v>
      </c>
      <c r="C24" s="3" t="s">
        <v>130</v>
      </c>
      <c r="D24" s="3" t="s">
        <v>372</v>
      </c>
      <c r="E24" s="3" t="n">
        <v>1</v>
      </c>
      <c r="F24" s="4" t="n">
        <v>0.2</v>
      </c>
      <c r="G24" s="4" t="n">
        <f aca="false">E24*F24</f>
        <v>0.2</v>
      </c>
      <c r="H24" s="6" t="s">
        <v>320</v>
      </c>
      <c r="I24" s="3" t="s">
        <v>321</v>
      </c>
    </row>
    <row r="25" customFormat="false" ht="15" hidden="false" customHeight="true" outlineLevel="0" collapsed="false">
      <c r="A25" s="3" t="n">
        <v>31</v>
      </c>
      <c r="B25" s="3" t="s">
        <v>322</v>
      </c>
      <c r="C25" s="3" t="s">
        <v>130</v>
      </c>
      <c r="D25" s="3" t="s">
        <v>373</v>
      </c>
      <c r="E25" s="3" t="n">
        <v>1</v>
      </c>
      <c r="F25" s="4" t="n">
        <v>0.1</v>
      </c>
      <c r="G25" s="4" t="n">
        <f aca="false">E25*F25</f>
        <v>0.1</v>
      </c>
      <c r="H25" s="6" t="s">
        <v>324</v>
      </c>
      <c r="I25" s="3" t="s">
        <v>325</v>
      </c>
    </row>
    <row r="26" customFormat="false" ht="15" hidden="false" customHeight="true" outlineLevel="0" collapsed="false">
      <c r="A26" s="3" t="n">
        <v>32</v>
      </c>
      <c r="B26" s="3" t="s">
        <v>326</v>
      </c>
      <c r="C26" s="3" t="s">
        <v>130</v>
      </c>
      <c r="D26" s="3" t="s">
        <v>374</v>
      </c>
      <c r="E26" s="3" t="n">
        <v>1</v>
      </c>
      <c r="F26" s="4" t="n">
        <v>1.1</v>
      </c>
      <c r="G26" s="4" t="n">
        <f aca="false">E26*F26</f>
        <v>1.1</v>
      </c>
      <c r="H26" s="6" t="s">
        <v>328</v>
      </c>
      <c r="I26" s="3" t="s">
        <v>329</v>
      </c>
    </row>
    <row r="27" customFormat="false" ht="15" hidden="false" customHeight="true" outlineLevel="0" collapsed="false">
      <c r="A27" s="3" t="n">
        <v>33</v>
      </c>
      <c r="B27" s="3" t="s">
        <v>330</v>
      </c>
      <c r="C27" s="3" t="s">
        <v>130</v>
      </c>
      <c r="D27" s="3" t="s">
        <v>375</v>
      </c>
      <c r="E27" s="3" t="n">
        <v>1</v>
      </c>
      <c r="F27" s="4" t="n">
        <v>0.7</v>
      </c>
      <c r="G27" s="4" t="n">
        <f aca="false">E27*F27</f>
        <v>0.7</v>
      </c>
      <c r="H27" s="6" t="s">
        <v>332</v>
      </c>
      <c r="I27" s="3" t="s">
        <v>333</v>
      </c>
    </row>
    <row r="28" customFormat="false" ht="15" hidden="false" customHeight="true" outlineLevel="0" collapsed="false">
      <c r="A28" s="3" t="n">
        <v>9</v>
      </c>
      <c r="B28" s="3" t="s">
        <v>209</v>
      </c>
      <c r="C28" s="3" t="s">
        <v>210</v>
      </c>
      <c r="D28" s="3" t="s">
        <v>376</v>
      </c>
      <c r="E28" s="3" t="n">
        <v>10</v>
      </c>
      <c r="F28" s="4" t="n">
        <v>0.25</v>
      </c>
      <c r="G28" s="4" t="n">
        <f aca="false">E28*F28</f>
        <v>2.5</v>
      </c>
      <c r="H28" s="6" t="s">
        <v>214</v>
      </c>
      <c r="I28" s="3"/>
    </row>
    <row r="29" customFormat="false" ht="15" hidden="false" customHeight="true" outlineLevel="0" collapsed="false">
      <c r="A29" s="3" t="n">
        <v>10</v>
      </c>
      <c r="B29" s="3" t="s">
        <v>216</v>
      </c>
      <c r="C29" s="3" t="s">
        <v>210</v>
      </c>
      <c r="D29" s="3" t="s">
        <v>377</v>
      </c>
      <c r="E29" s="3" t="n">
        <v>2</v>
      </c>
      <c r="F29" s="4" t="n">
        <v>0.56</v>
      </c>
      <c r="G29" s="4" t="n">
        <f aca="false">E29*F29</f>
        <v>1.12</v>
      </c>
      <c r="H29" s="6" t="s">
        <v>219</v>
      </c>
      <c r="I29" s="3"/>
    </row>
    <row r="30" customFormat="false" ht="15" hidden="false" customHeight="true" outlineLevel="0" collapsed="false">
      <c r="A30" s="3" t="n">
        <v>11</v>
      </c>
      <c r="B30" s="3" t="s">
        <v>224</v>
      </c>
      <c r="C30" s="3" t="s">
        <v>210</v>
      </c>
      <c r="D30" s="3" t="s">
        <v>377</v>
      </c>
      <c r="E30" s="3" t="n">
        <v>2</v>
      </c>
      <c r="F30" s="4" t="n">
        <v>0.62</v>
      </c>
      <c r="G30" s="4" t="n">
        <f aca="false">E30*F30</f>
        <v>1.24</v>
      </c>
      <c r="H30" s="6" t="s">
        <v>226</v>
      </c>
      <c r="I30" s="3"/>
    </row>
    <row r="31" customFormat="false" ht="15" hidden="false" customHeight="false" outlineLevel="0" collapsed="false">
      <c r="H31" s="1" t="s">
        <v>111</v>
      </c>
    </row>
    <row r="32" customFormat="false" ht="15" hidden="false" customHeight="true" outlineLevel="0" collapsed="false">
      <c r="A32" s="16" t="s">
        <v>84</v>
      </c>
      <c r="D32" s="16" t="s">
        <v>378</v>
      </c>
      <c r="F32" s="16" t="s">
        <v>379</v>
      </c>
      <c r="G32" s="16" t="s">
        <v>380</v>
      </c>
      <c r="H32" s="17" t="s">
        <v>381</v>
      </c>
    </row>
    <row r="33" customFormat="false" ht="15" hidden="false" customHeight="true" outlineLevel="0" collapsed="false">
      <c r="A33" s="18" t="s">
        <v>99</v>
      </c>
      <c r="B33" s="18"/>
      <c r="C33" s="18"/>
      <c r="D33" s="19" t="n">
        <f aca="false">SUMIF($C$3:$C$30,A33,$G$3:$G$30)</f>
        <v>69.52</v>
      </c>
      <c r="E33" s="18"/>
      <c r="F33" s="19" t="n">
        <f aca="false">IF(D33&gt;=49,0,3.99)</f>
        <v>0</v>
      </c>
      <c r="G33" s="19" t="n">
        <f aca="false">D33+N(F33)</f>
        <v>69.52</v>
      </c>
      <c r="H33" s="18" t="s">
        <v>382</v>
      </c>
      <c r="I33" s="18"/>
    </row>
    <row r="34" customFormat="false" ht="15" hidden="false" customHeight="true" outlineLevel="0" collapsed="false">
      <c r="A34" s="18" t="s">
        <v>130</v>
      </c>
      <c r="B34" s="18"/>
      <c r="C34" s="18"/>
      <c r="D34" s="19" t="n">
        <f aca="false">SUMIF($C$3:$C$30,A34,$G$3:$G$30)</f>
        <v>25.42</v>
      </c>
      <c r="E34" s="18"/>
      <c r="F34" s="19" t="n">
        <f aca="false">IF(D34&gt;=150,0,4.95)</f>
        <v>4.95</v>
      </c>
      <c r="G34" s="19" t="n">
        <f aca="false">D34+N(F34)</f>
        <v>30.37</v>
      </c>
      <c r="H34" s="18" t="s">
        <v>383</v>
      </c>
      <c r="I34" s="18"/>
    </row>
    <row r="35" customFormat="false" ht="15" hidden="false" customHeight="true" outlineLevel="0" collapsed="false">
      <c r="A35" s="18" t="s">
        <v>136</v>
      </c>
      <c r="B35" s="18"/>
      <c r="C35" s="18"/>
      <c r="D35" s="19" t="n">
        <f aca="false">SUMIF($C$3:$C$30,A35,$G$3:$G$30)</f>
        <v>0.34</v>
      </c>
      <c r="E35" s="18"/>
      <c r="F35" s="19" t="n">
        <f aca="false">IF(D35&gt;0,5.95,0)</f>
        <v>5.95</v>
      </c>
      <c r="G35" s="19" t="n">
        <f aca="false">D35+N(F35)</f>
        <v>6.29</v>
      </c>
      <c r="H35" s="18" t="s">
        <v>384</v>
      </c>
      <c r="I35" s="18"/>
    </row>
    <row r="36" customFormat="false" ht="15" hidden="false" customHeight="true" outlineLevel="0" collapsed="false">
      <c r="A36" s="18" t="s">
        <v>210</v>
      </c>
      <c r="B36" s="18"/>
      <c r="C36" s="18"/>
      <c r="D36" s="19" t="n">
        <f aca="false">SUMIF($C$3:$C$30,A36,$G$3:$G$30)</f>
        <v>4.86</v>
      </c>
      <c r="E36" s="18"/>
      <c r="F36" s="19"/>
      <c r="G36" s="19" t="n">
        <f aca="false">D36+N(F36)</f>
        <v>4.86</v>
      </c>
      <c r="H36" s="18" t="s">
        <v>385</v>
      </c>
      <c r="I36" s="18"/>
    </row>
    <row r="37" customFormat="false" ht="15" hidden="false" customHeight="true" outlineLevel="0" collapsed="false">
      <c r="A37" s="20" t="s">
        <v>386</v>
      </c>
      <c r="B37" s="21"/>
      <c r="C37" s="21"/>
      <c r="D37" s="22" t="n">
        <f aca="false">SUM(D33:D36)</f>
        <v>100.14</v>
      </c>
      <c r="E37" s="21"/>
      <c r="F37" s="22" t="n">
        <f aca="false">SUM(F33:F36)</f>
        <v>10.9</v>
      </c>
      <c r="G37" s="23" t="n">
        <f aca="false">SUM(G33:G36)</f>
        <v>111.04</v>
      </c>
      <c r="H37" s="21" t="s">
        <v>387</v>
      </c>
      <c r="I37" s="21"/>
    </row>
    <row r="38" customFormat="false" ht="15" hidden="false" customHeight="false" outlineLevel="0" collapsed="false">
      <c r="H38" s="1" t="s">
        <v>267</v>
      </c>
    </row>
    <row r="39" customFormat="false" ht="15" hidden="false" customHeight="false" outlineLevel="0" collapsed="false">
      <c r="H39" s="1" t="s">
        <v>173</v>
      </c>
    </row>
    <row r="40" customFormat="false" ht="15.75" hidden="false" customHeight="true" outlineLevel="0" collapsed="false">
      <c r="A40" s="15" t="s">
        <v>388</v>
      </c>
      <c r="H40" s="1" t="s">
        <v>177</v>
      </c>
    </row>
    <row r="41" customFormat="false" ht="27.75" hidden="false" customHeight="true" outlineLevel="0" collapsed="false">
      <c r="A41" s="2" t="s">
        <v>0</v>
      </c>
      <c r="B41" s="2" t="s">
        <v>1</v>
      </c>
      <c r="C41" s="2" t="s">
        <v>84</v>
      </c>
      <c r="D41" s="2" t="s">
        <v>337</v>
      </c>
      <c r="E41" s="2" t="s">
        <v>338</v>
      </c>
      <c r="F41" s="2" t="s">
        <v>339</v>
      </c>
      <c r="G41" s="2" t="s">
        <v>340</v>
      </c>
      <c r="H41" s="2" t="s">
        <v>94</v>
      </c>
      <c r="I41" s="2" t="s">
        <v>341</v>
      </c>
    </row>
    <row r="42" customFormat="false" ht="15" hidden="false" customHeight="true" outlineLevel="0" collapsed="false">
      <c r="A42" s="3" t="n">
        <v>1</v>
      </c>
      <c r="B42" s="3" t="s">
        <v>98</v>
      </c>
      <c r="C42" s="3" t="s">
        <v>107</v>
      </c>
      <c r="D42" s="3" t="s">
        <v>389</v>
      </c>
      <c r="E42" s="3" t="n">
        <v>1</v>
      </c>
      <c r="F42" s="4" t="n">
        <v>15.39</v>
      </c>
      <c r="G42" s="4" t="n">
        <f aca="false">E42*F42</f>
        <v>15.39</v>
      </c>
      <c r="H42" s="6" t="s">
        <v>111</v>
      </c>
      <c r="I42" s="3" t="s">
        <v>390</v>
      </c>
    </row>
    <row r="43" customFormat="false" ht="15" hidden="false" customHeight="true" outlineLevel="0" collapsed="false">
      <c r="A43" s="3" t="n">
        <v>2</v>
      </c>
      <c r="B43" s="3" t="s">
        <v>10</v>
      </c>
      <c r="C43" s="3" t="s">
        <v>107</v>
      </c>
      <c r="D43" s="3" t="s">
        <v>391</v>
      </c>
      <c r="E43" s="3" t="n">
        <v>1</v>
      </c>
      <c r="F43" s="4" t="n">
        <v>4.89</v>
      </c>
      <c r="G43" s="4" t="n">
        <f aca="false">E43*F43</f>
        <v>4.89</v>
      </c>
      <c r="H43" s="6" t="s">
        <v>128</v>
      </c>
      <c r="I43" s="3" t="s">
        <v>392</v>
      </c>
    </row>
    <row r="44" customFormat="false" ht="15" hidden="false" customHeight="true" outlineLevel="0" collapsed="false">
      <c r="A44" s="3" t="n">
        <v>3</v>
      </c>
      <c r="B44" s="3" t="s">
        <v>345</v>
      </c>
      <c r="C44" s="3" t="s">
        <v>107</v>
      </c>
      <c r="D44" s="3" t="s">
        <v>393</v>
      </c>
      <c r="E44" s="3" t="n">
        <v>1</v>
      </c>
      <c r="F44" s="4" t="n">
        <v>7.59</v>
      </c>
      <c r="G44" s="4" t="n">
        <f aca="false">E44*F44</f>
        <v>7.59</v>
      </c>
      <c r="H44" s="6" t="s">
        <v>148</v>
      </c>
      <c r="I44" s="3" t="s">
        <v>394</v>
      </c>
    </row>
    <row r="45" customFormat="false" ht="15" hidden="false" customHeight="true" outlineLevel="0" collapsed="false">
      <c r="A45" s="3" t="n">
        <v>7</v>
      </c>
      <c r="B45" s="3" t="s">
        <v>181</v>
      </c>
      <c r="C45" s="3" t="s">
        <v>107</v>
      </c>
      <c r="D45" s="3" t="s">
        <v>395</v>
      </c>
      <c r="E45" s="3" t="n">
        <v>1</v>
      </c>
      <c r="F45" s="4" t="n">
        <v>1.55</v>
      </c>
      <c r="G45" s="4" t="n">
        <f aca="false">E45*F45</f>
        <v>1.55</v>
      </c>
      <c r="H45" s="6" t="s">
        <v>188</v>
      </c>
      <c r="I45" s="3" t="s">
        <v>396</v>
      </c>
    </row>
    <row r="46" customFormat="false" ht="15" hidden="false" customHeight="true" outlineLevel="0" collapsed="false">
      <c r="A46" s="3" t="n">
        <v>8</v>
      </c>
      <c r="B46" s="3" t="s">
        <v>193</v>
      </c>
      <c r="C46" s="3" t="s">
        <v>130</v>
      </c>
      <c r="D46" s="3" t="s">
        <v>397</v>
      </c>
      <c r="E46" s="3" t="n">
        <v>1</v>
      </c>
      <c r="F46" s="4" t="n">
        <v>9.95</v>
      </c>
      <c r="G46" s="4" t="n">
        <f aca="false">E46*F46</f>
        <v>9.95</v>
      </c>
      <c r="H46" s="6" t="s">
        <v>195</v>
      </c>
      <c r="I46" s="3" t="s">
        <v>398</v>
      </c>
    </row>
    <row r="47" customFormat="false" ht="15" hidden="false" customHeight="true" outlineLevel="0" collapsed="false">
      <c r="A47" s="3" t="n">
        <v>15</v>
      </c>
      <c r="B47" s="3" t="s">
        <v>248</v>
      </c>
      <c r="C47" s="3" t="s">
        <v>107</v>
      </c>
      <c r="D47" s="3" t="s">
        <v>399</v>
      </c>
      <c r="E47" s="3" t="n">
        <v>1</v>
      </c>
      <c r="F47" s="4" t="n">
        <v>1.09</v>
      </c>
      <c r="G47" s="4" t="n">
        <f aca="false">E47*F47</f>
        <v>1.09</v>
      </c>
      <c r="H47" s="6" t="s">
        <v>258</v>
      </c>
      <c r="I47" s="3"/>
    </row>
    <row r="48" customFormat="false" ht="15" hidden="false" customHeight="true" outlineLevel="0" collapsed="false">
      <c r="A48" s="3" t="n">
        <v>16</v>
      </c>
      <c r="B48" s="3" t="s">
        <v>260</v>
      </c>
      <c r="C48" s="3" t="s">
        <v>107</v>
      </c>
      <c r="D48" s="3" t="s">
        <v>400</v>
      </c>
      <c r="E48" s="3" t="n">
        <v>1</v>
      </c>
      <c r="F48" s="4" t="n">
        <v>1.49</v>
      </c>
      <c r="G48" s="4" t="n">
        <f aca="false">E48*F48</f>
        <v>1.49</v>
      </c>
      <c r="H48" s="6" t="s">
        <v>263</v>
      </c>
      <c r="I48" s="3" t="s">
        <v>401</v>
      </c>
    </row>
    <row r="49" customFormat="false" ht="15" hidden="false" customHeight="true" outlineLevel="0" collapsed="false">
      <c r="A49" s="3" t="n">
        <v>17</v>
      </c>
      <c r="B49" s="3" t="s">
        <v>265</v>
      </c>
      <c r="C49" s="3" t="s">
        <v>107</v>
      </c>
      <c r="D49" s="3" t="s">
        <v>402</v>
      </c>
      <c r="E49" s="3" t="n">
        <v>1</v>
      </c>
      <c r="F49" s="4" t="n">
        <v>2.39</v>
      </c>
      <c r="G49" s="4" t="n">
        <f aca="false">E49*F49</f>
        <v>2.39</v>
      </c>
      <c r="H49" s="6" t="s">
        <v>267</v>
      </c>
      <c r="I49" s="3" t="s">
        <v>403</v>
      </c>
    </row>
    <row r="50" customFormat="false" ht="15" hidden="false" customHeight="true" outlineLevel="0" collapsed="false">
      <c r="A50" s="3" t="n">
        <v>5</v>
      </c>
      <c r="B50" s="3" t="s">
        <v>294</v>
      </c>
      <c r="C50" s="3" t="s">
        <v>136</v>
      </c>
      <c r="D50" s="3" t="s">
        <v>348</v>
      </c>
      <c r="E50" s="3" t="n">
        <v>2</v>
      </c>
      <c r="F50" s="4" t="n">
        <v>0.17</v>
      </c>
      <c r="G50" s="4" t="n">
        <f aca="false">E50*F50</f>
        <v>0.34</v>
      </c>
      <c r="H50" s="6" t="s">
        <v>297</v>
      </c>
      <c r="I50" s="3" t="s">
        <v>349</v>
      </c>
    </row>
    <row r="51" customFormat="false" ht="15" hidden="false" customHeight="true" outlineLevel="0" collapsed="false">
      <c r="A51" s="3" t="n">
        <v>6</v>
      </c>
      <c r="B51" s="3" t="s">
        <v>175</v>
      </c>
      <c r="C51" s="3" t="s">
        <v>99</v>
      </c>
      <c r="D51" s="3" t="s">
        <v>350</v>
      </c>
      <c r="E51" s="3" t="n">
        <v>1</v>
      </c>
      <c r="F51" s="4" t="n">
        <v>10.99</v>
      </c>
      <c r="G51" s="4" t="n">
        <f aca="false">E51*F51</f>
        <v>10.99</v>
      </c>
      <c r="H51" s="6" t="s">
        <v>177</v>
      </c>
      <c r="I51" s="3"/>
    </row>
    <row r="52" customFormat="false" ht="15" hidden="false" customHeight="true" outlineLevel="0" collapsed="false">
      <c r="A52" s="3" t="n">
        <v>13</v>
      </c>
      <c r="B52" s="3" t="s">
        <v>234</v>
      </c>
      <c r="C52" s="3" t="s">
        <v>99</v>
      </c>
      <c r="D52" s="3" t="s">
        <v>404</v>
      </c>
      <c r="E52" s="3" t="n">
        <v>1</v>
      </c>
      <c r="F52" s="4" t="n">
        <v>7.59</v>
      </c>
      <c r="G52" s="4" t="n">
        <f aca="false">E52*F52</f>
        <v>7.59</v>
      </c>
      <c r="H52" s="6" t="s">
        <v>236</v>
      </c>
      <c r="I52" s="3"/>
    </row>
    <row r="53" customFormat="false" ht="27.75" hidden="false" customHeight="true" outlineLevel="0" collapsed="false">
      <c r="A53" s="3" t="n">
        <v>4</v>
      </c>
      <c r="B53" s="3" t="s">
        <v>157</v>
      </c>
      <c r="C53" s="3" t="s">
        <v>130</v>
      </c>
      <c r="D53" s="3" t="s">
        <v>355</v>
      </c>
      <c r="E53" s="3" t="n">
        <v>1</v>
      </c>
      <c r="F53" s="4" t="n">
        <v>1.8</v>
      </c>
      <c r="G53" s="4" t="n">
        <f aca="false">E53*F53</f>
        <v>1.8</v>
      </c>
      <c r="H53" s="6" t="s">
        <v>159</v>
      </c>
      <c r="I53" s="3" t="s">
        <v>405</v>
      </c>
    </row>
    <row r="54" customFormat="false" ht="15" hidden="false" customHeight="true" outlineLevel="0" collapsed="false">
      <c r="A54" s="3" t="n">
        <v>12</v>
      </c>
      <c r="B54" s="3" t="s">
        <v>227</v>
      </c>
      <c r="C54" s="3" t="s">
        <v>130</v>
      </c>
      <c r="D54" s="3" t="s">
        <v>358</v>
      </c>
      <c r="E54" s="3" t="n">
        <v>4</v>
      </c>
      <c r="F54" s="4" t="n">
        <v>0.15</v>
      </c>
      <c r="G54" s="4" t="n">
        <f aca="false">E54*F54</f>
        <v>0.6</v>
      </c>
      <c r="H54" s="6" t="s">
        <v>229</v>
      </c>
      <c r="I54" s="3"/>
    </row>
    <row r="55" customFormat="false" ht="15" hidden="false" customHeight="true" outlineLevel="0" collapsed="false">
      <c r="A55" s="3" t="n">
        <v>14</v>
      </c>
      <c r="B55" s="3" t="s">
        <v>359</v>
      </c>
      <c r="C55" s="3" t="s">
        <v>130</v>
      </c>
      <c r="D55" s="3" t="s">
        <v>360</v>
      </c>
      <c r="E55" s="3" t="n">
        <v>2</v>
      </c>
      <c r="F55" s="4" t="n">
        <v>0.05</v>
      </c>
      <c r="G55" s="4" t="n">
        <f aca="false">E55*F55</f>
        <v>0.1</v>
      </c>
      <c r="H55" s="6" t="s">
        <v>246</v>
      </c>
      <c r="I55" s="3"/>
    </row>
    <row r="56" customFormat="false" ht="15" hidden="false" customHeight="true" outlineLevel="0" collapsed="false">
      <c r="A56" s="3" t="n">
        <v>18</v>
      </c>
      <c r="B56" s="3" t="s">
        <v>269</v>
      </c>
      <c r="C56" s="3" t="s">
        <v>130</v>
      </c>
      <c r="D56" s="3" t="s">
        <v>363</v>
      </c>
      <c r="E56" s="3" t="n">
        <v>1</v>
      </c>
      <c r="F56" s="4" t="n">
        <v>2.8</v>
      </c>
      <c r="G56" s="4" t="n">
        <f aca="false">E56*F56</f>
        <v>2.8</v>
      </c>
      <c r="H56" s="6" t="s">
        <v>271</v>
      </c>
      <c r="I56" s="3"/>
    </row>
    <row r="57" customFormat="false" ht="15" hidden="false" customHeight="true" outlineLevel="0" collapsed="false">
      <c r="A57" s="3" t="n">
        <v>19</v>
      </c>
      <c r="B57" s="3" t="s">
        <v>272</v>
      </c>
      <c r="C57" s="3" t="s">
        <v>130</v>
      </c>
      <c r="D57" s="3" t="s">
        <v>364</v>
      </c>
      <c r="E57" s="3" t="n">
        <v>1</v>
      </c>
      <c r="F57" s="4" t="n">
        <v>2.9</v>
      </c>
      <c r="G57" s="4" t="n">
        <f aca="false">E57*F57</f>
        <v>2.9</v>
      </c>
      <c r="H57" s="6" t="s">
        <v>274</v>
      </c>
      <c r="I57" s="3"/>
    </row>
    <row r="58" customFormat="false" ht="15" hidden="false" customHeight="true" outlineLevel="0" collapsed="false">
      <c r="A58" s="3" t="n">
        <v>20</v>
      </c>
      <c r="B58" s="3" t="s">
        <v>276</v>
      </c>
      <c r="C58" s="3" t="s">
        <v>130</v>
      </c>
      <c r="D58" s="3" t="s">
        <v>366</v>
      </c>
      <c r="E58" s="3" t="n">
        <v>1</v>
      </c>
      <c r="F58" s="4" t="n">
        <v>0.6</v>
      </c>
      <c r="G58" s="4" t="n">
        <f aca="false">E58*F58</f>
        <v>0.6</v>
      </c>
      <c r="H58" s="6" t="s">
        <v>279</v>
      </c>
      <c r="I58" s="3"/>
    </row>
    <row r="59" customFormat="false" ht="15" hidden="false" customHeight="true" outlineLevel="0" collapsed="false">
      <c r="A59" s="3" t="n">
        <v>24</v>
      </c>
      <c r="B59" s="3" t="s">
        <v>300</v>
      </c>
      <c r="C59" s="3" t="s">
        <v>130</v>
      </c>
      <c r="D59" s="3" t="s">
        <v>367</v>
      </c>
      <c r="E59" s="3" t="n">
        <v>1</v>
      </c>
      <c r="F59" s="4" t="n">
        <v>0.17</v>
      </c>
      <c r="G59" s="4" t="n">
        <f aca="false">E59*F59</f>
        <v>0.17</v>
      </c>
      <c r="H59" s="6" t="s">
        <v>302</v>
      </c>
      <c r="I59" s="3" t="s">
        <v>303</v>
      </c>
    </row>
    <row r="60" customFormat="false" ht="15" hidden="false" customHeight="true" outlineLevel="0" collapsed="false">
      <c r="A60" s="3" t="n">
        <v>25</v>
      </c>
      <c r="B60" s="3" t="s">
        <v>63</v>
      </c>
      <c r="C60" s="3" t="s">
        <v>130</v>
      </c>
      <c r="D60" s="3" t="s">
        <v>368</v>
      </c>
      <c r="E60" s="3" t="n">
        <v>1</v>
      </c>
      <c r="F60" s="4" t="n">
        <v>0.05</v>
      </c>
      <c r="G60" s="4" t="n">
        <f aca="false">E60*F60</f>
        <v>0.05</v>
      </c>
      <c r="H60" s="6" t="s">
        <v>305</v>
      </c>
      <c r="I60" s="3" t="s">
        <v>64</v>
      </c>
    </row>
    <row r="61" customFormat="false" ht="15" hidden="false" customHeight="true" outlineLevel="0" collapsed="false">
      <c r="A61" s="3" t="n">
        <v>26</v>
      </c>
      <c r="B61" s="3" t="s">
        <v>65</v>
      </c>
      <c r="C61" s="3" t="s">
        <v>130</v>
      </c>
      <c r="D61" s="3" t="s">
        <v>369</v>
      </c>
      <c r="E61" s="3" t="n">
        <v>1</v>
      </c>
      <c r="F61" s="4" t="n">
        <v>0.06</v>
      </c>
      <c r="G61" s="4" t="n">
        <f aca="false">E61*F61</f>
        <v>0.06</v>
      </c>
      <c r="H61" s="6" t="s">
        <v>307</v>
      </c>
      <c r="I61" s="3" t="s">
        <v>66</v>
      </c>
    </row>
    <row r="62" customFormat="false" ht="15" hidden="false" customHeight="true" outlineLevel="0" collapsed="false">
      <c r="A62" s="3" t="n">
        <v>27</v>
      </c>
      <c r="B62" s="3" t="s">
        <v>67</v>
      </c>
      <c r="C62" s="3" t="s">
        <v>130</v>
      </c>
      <c r="D62" s="3" t="s">
        <v>370</v>
      </c>
      <c r="E62" s="3" t="n">
        <v>2</v>
      </c>
      <c r="F62" s="4" t="n">
        <v>0.05</v>
      </c>
      <c r="G62" s="4" t="n">
        <f aca="false">E62*F62</f>
        <v>0.1</v>
      </c>
      <c r="H62" s="6" t="s">
        <v>309</v>
      </c>
      <c r="I62" s="3" t="s">
        <v>310</v>
      </c>
    </row>
    <row r="63" customFormat="false" ht="15" hidden="false" customHeight="true" outlineLevel="0" collapsed="false">
      <c r="A63" s="3" t="n">
        <v>28</v>
      </c>
      <c r="B63" s="3" t="s">
        <v>311</v>
      </c>
      <c r="C63" s="3" t="s">
        <v>130</v>
      </c>
      <c r="D63" s="3" t="s">
        <v>360</v>
      </c>
      <c r="E63" s="3" t="n">
        <v>1</v>
      </c>
      <c r="F63" s="4" t="n">
        <v>0.05</v>
      </c>
      <c r="G63" s="4" t="n">
        <f aca="false">E63*F63</f>
        <v>0.05</v>
      </c>
      <c r="H63" s="6" t="s">
        <v>246</v>
      </c>
      <c r="I63" s="3" t="s">
        <v>313</v>
      </c>
    </row>
    <row r="64" customFormat="false" ht="15" hidden="false" customHeight="true" outlineLevel="0" collapsed="false">
      <c r="A64" s="3" t="n">
        <v>29</v>
      </c>
      <c r="B64" s="3" t="s">
        <v>314</v>
      </c>
      <c r="C64" s="3" t="s">
        <v>130</v>
      </c>
      <c r="D64" s="3" t="s">
        <v>371</v>
      </c>
      <c r="E64" s="3" t="n">
        <v>2</v>
      </c>
      <c r="F64" s="4" t="n">
        <v>0.32</v>
      </c>
      <c r="G64" s="4" t="n">
        <f aca="false">E64*F64</f>
        <v>0.64</v>
      </c>
      <c r="H64" s="6" t="s">
        <v>316</v>
      </c>
      <c r="I64" s="3" t="s">
        <v>317</v>
      </c>
    </row>
    <row r="65" customFormat="false" ht="15" hidden="false" customHeight="true" outlineLevel="0" collapsed="false">
      <c r="A65" s="3" t="n">
        <v>30</v>
      </c>
      <c r="B65" s="3" t="s">
        <v>318</v>
      </c>
      <c r="C65" s="3" t="s">
        <v>130</v>
      </c>
      <c r="D65" s="3" t="s">
        <v>372</v>
      </c>
      <c r="E65" s="3" t="n">
        <v>1</v>
      </c>
      <c r="F65" s="4" t="n">
        <v>0.2</v>
      </c>
      <c r="G65" s="4" t="n">
        <f aca="false">E65*F65</f>
        <v>0.2</v>
      </c>
      <c r="H65" s="6" t="s">
        <v>320</v>
      </c>
      <c r="I65" s="3" t="s">
        <v>321</v>
      </c>
    </row>
    <row r="66" customFormat="false" ht="15" hidden="false" customHeight="true" outlineLevel="0" collapsed="false">
      <c r="A66" s="3" t="n">
        <v>31</v>
      </c>
      <c r="B66" s="3" t="s">
        <v>322</v>
      </c>
      <c r="C66" s="3" t="s">
        <v>130</v>
      </c>
      <c r="D66" s="3" t="s">
        <v>373</v>
      </c>
      <c r="E66" s="3" t="n">
        <v>1</v>
      </c>
      <c r="F66" s="4" t="n">
        <v>0.1</v>
      </c>
      <c r="G66" s="4" t="n">
        <f aca="false">E66*F66</f>
        <v>0.1</v>
      </c>
      <c r="H66" s="6" t="s">
        <v>324</v>
      </c>
      <c r="I66" s="3" t="s">
        <v>325</v>
      </c>
    </row>
    <row r="67" customFormat="false" ht="15" hidden="false" customHeight="true" outlineLevel="0" collapsed="false">
      <c r="A67" s="3" t="n">
        <v>32</v>
      </c>
      <c r="B67" s="3" t="s">
        <v>326</v>
      </c>
      <c r="C67" s="3" t="s">
        <v>130</v>
      </c>
      <c r="D67" s="3" t="s">
        <v>374</v>
      </c>
      <c r="E67" s="3" t="n">
        <v>1</v>
      </c>
      <c r="F67" s="4" t="n">
        <v>1.1</v>
      </c>
      <c r="G67" s="4" t="n">
        <f aca="false">E67*F67</f>
        <v>1.1</v>
      </c>
      <c r="H67" s="6" t="s">
        <v>328</v>
      </c>
      <c r="I67" s="3" t="s">
        <v>329</v>
      </c>
    </row>
    <row r="68" customFormat="false" ht="15" hidden="false" customHeight="true" outlineLevel="0" collapsed="false">
      <c r="A68" s="3" t="n">
        <v>33</v>
      </c>
      <c r="B68" s="3" t="s">
        <v>330</v>
      </c>
      <c r="C68" s="3" t="s">
        <v>130</v>
      </c>
      <c r="D68" s="3" t="s">
        <v>375</v>
      </c>
      <c r="E68" s="3" t="n">
        <v>1</v>
      </c>
      <c r="F68" s="4" t="n">
        <v>0.7</v>
      </c>
      <c r="G68" s="4" t="n">
        <f aca="false">E68*F68</f>
        <v>0.7</v>
      </c>
      <c r="H68" s="6" t="s">
        <v>332</v>
      </c>
      <c r="I68" s="3" t="s">
        <v>333</v>
      </c>
    </row>
    <row r="69" customFormat="false" ht="15" hidden="false" customHeight="true" outlineLevel="0" collapsed="false">
      <c r="A69" s="3" t="n">
        <v>9</v>
      </c>
      <c r="B69" s="3" t="s">
        <v>209</v>
      </c>
      <c r="C69" s="3" t="s">
        <v>210</v>
      </c>
      <c r="D69" s="3" t="s">
        <v>376</v>
      </c>
      <c r="E69" s="3" t="n">
        <v>10</v>
      </c>
      <c r="F69" s="4" t="n">
        <v>0.25</v>
      </c>
      <c r="G69" s="4" t="n">
        <f aca="false">E69*F69</f>
        <v>2.5</v>
      </c>
      <c r="H69" s="6" t="s">
        <v>214</v>
      </c>
      <c r="I69" s="3"/>
    </row>
    <row r="70" customFormat="false" ht="15" hidden="false" customHeight="true" outlineLevel="0" collapsed="false">
      <c r="A70" s="3" t="n">
        <v>10</v>
      </c>
      <c r="B70" s="3" t="s">
        <v>216</v>
      </c>
      <c r="C70" s="3" t="s">
        <v>210</v>
      </c>
      <c r="D70" s="3" t="s">
        <v>377</v>
      </c>
      <c r="E70" s="3" t="n">
        <v>2</v>
      </c>
      <c r="F70" s="4" t="n">
        <v>0.56</v>
      </c>
      <c r="G70" s="4" t="n">
        <f aca="false">E70*F70</f>
        <v>1.12</v>
      </c>
      <c r="H70" s="6" t="s">
        <v>219</v>
      </c>
      <c r="I70" s="3"/>
    </row>
    <row r="71" customFormat="false" ht="15" hidden="false" customHeight="true" outlineLevel="0" collapsed="false">
      <c r="A71" s="3" t="n">
        <v>11</v>
      </c>
      <c r="B71" s="3" t="s">
        <v>224</v>
      </c>
      <c r="C71" s="3" t="s">
        <v>210</v>
      </c>
      <c r="D71" s="3" t="s">
        <v>377</v>
      </c>
      <c r="E71" s="3" t="n">
        <v>2</v>
      </c>
      <c r="F71" s="4" t="n">
        <v>0.62</v>
      </c>
      <c r="G71" s="4" t="n">
        <f aca="false">E71*F71</f>
        <v>1.24</v>
      </c>
      <c r="H71" s="6" t="s">
        <v>226</v>
      </c>
      <c r="I71" s="3"/>
    </row>
    <row r="72" customFormat="false" ht="15" hidden="false" customHeight="false" outlineLevel="0" collapsed="false"/>
    <row r="73" customFormat="false" ht="15" hidden="false" customHeight="true" outlineLevel="0" collapsed="false">
      <c r="A73" s="16" t="s">
        <v>84</v>
      </c>
      <c r="D73" s="16" t="s">
        <v>378</v>
      </c>
      <c r="F73" s="16" t="s">
        <v>379</v>
      </c>
      <c r="G73" s="16" t="s">
        <v>380</v>
      </c>
      <c r="H73" s="16" t="s">
        <v>381</v>
      </c>
    </row>
    <row r="74" customFormat="false" ht="15" hidden="false" customHeight="true" outlineLevel="0" collapsed="false">
      <c r="A74" s="18" t="s">
        <v>107</v>
      </c>
      <c r="B74" s="18"/>
      <c r="C74" s="18"/>
      <c r="D74" s="19" t="n">
        <f aca="false">SUMIF($C$42:$C$71,A74,$G$42:$G$71)</f>
        <v>34.39</v>
      </c>
      <c r="E74" s="18"/>
      <c r="F74" s="19" t="n">
        <v>0</v>
      </c>
      <c r="G74" s="19" t="n">
        <f aca="false">D74+N(F74)</f>
        <v>34.39</v>
      </c>
      <c r="H74" s="18" t="s">
        <v>406</v>
      </c>
      <c r="I74" s="18"/>
    </row>
    <row r="75" customFormat="false" ht="15" hidden="false" customHeight="true" outlineLevel="0" collapsed="false">
      <c r="A75" s="18" t="s">
        <v>99</v>
      </c>
      <c r="B75" s="18"/>
      <c r="C75" s="18"/>
      <c r="D75" s="19" t="n">
        <f aca="false">SUMIF($C$42:$C$71,A75,$G$42:$G$71)</f>
        <v>18.58</v>
      </c>
      <c r="E75" s="18"/>
      <c r="F75" s="19" t="n">
        <f aca="false">IF(D75&gt;=49,0,3.99)</f>
        <v>3.99</v>
      </c>
      <c r="G75" s="19" t="n">
        <f aca="false">D75+N(F75)</f>
        <v>22.57</v>
      </c>
      <c r="H75" s="18" t="s">
        <v>407</v>
      </c>
      <c r="I75" s="18"/>
    </row>
    <row r="76" customFormat="false" ht="15" hidden="false" customHeight="true" outlineLevel="0" collapsed="false">
      <c r="A76" s="18" t="s">
        <v>130</v>
      </c>
      <c r="B76" s="18"/>
      <c r="C76" s="18"/>
      <c r="D76" s="19" t="n">
        <f aca="false">SUMIF($C$42:$C$71,A76,$G$42:$G$71)</f>
        <v>21.92</v>
      </c>
      <c r="E76" s="18"/>
      <c r="F76" s="19" t="n">
        <f aca="false">IF(D76&gt;=150,0,4.95)</f>
        <v>4.95</v>
      </c>
      <c r="G76" s="19" t="n">
        <f aca="false">D76+N(F76)</f>
        <v>26.87</v>
      </c>
      <c r="H76" s="18" t="s">
        <v>383</v>
      </c>
      <c r="I76" s="18"/>
    </row>
    <row r="77" customFormat="false" ht="15" hidden="false" customHeight="true" outlineLevel="0" collapsed="false">
      <c r="A77" s="18" t="s">
        <v>136</v>
      </c>
      <c r="B77" s="18"/>
      <c r="C77" s="18"/>
      <c r="D77" s="19" t="n">
        <f aca="false">SUMIF($C$42:$C$71,A77,$G$42:$G$71)</f>
        <v>0.34</v>
      </c>
      <c r="E77" s="18"/>
      <c r="F77" s="19" t="n">
        <f aca="false">IF(D77&gt;0,5.95,0)</f>
        <v>5.95</v>
      </c>
      <c r="G77" s="19" t="n">
        <f aca="false">D77+N(F77)</f>
        <v>6.29</v>
      </c>
      <c r="H77" s="18" t="s">
        <v>384</v>
      </c>
      <c r="I77" s="18"/>
    </row>
    <row r="78" customFormat="false" ht="15" hidden="false" customHeight="true" outlineLevel="0" collapsed="false">
      <c r="A78" s="18" t="s">
        <v>210</v>
      </c>
      <c r="B78" s="18"/>
      <c r="C78" s="18"/>
      <c r="D78" s="19" t="n">
        <f aca="false">SUMIF($C$42:$C$71,A78,$G$42:$G$71)</f>
        <v>4.86</v>
      </c>
      <c r="E78" s="18"/>
      <c r="F78" s="19"/>
      <c r="G78" s="19" t="n">
        <f aca="false">D78+N(F78)</f>
        <v>4.86</v>
      </c>
      <c r="H78" s="18" t="s">
        <v>385</v>
      </c>
      <c r="I78" s="18"/>
    </row>
    <row r="79" customFormat="false" ht="15" hidden="false" customHeight="true" outlineLevel="0" collapsed="false">
      <c r="A79" s="20" t="s">
        <v>386</v>
      </c>
      <c r="B79" s="21"/>
      <c r="C79" s="21"/>
      <c r="D79" s="22" t="n">
        <f aca="false">SUM(D74:D78)</f>
        <v>80.09</v>
      </c>
      <c r="E79" s="21"/>
      <c r="F79" s="22" t="n">
        <f aca="false">SUM(F74:F78)</f>
        <v>14.89</v>
      </c>
      <c r="G79" s="23" t="n">
        <f aca="false">SUM(G74:G78)</f>
        <v>94.98</v>
      </c>
      <c r="H79" s="21" t="s">
        <v>387</v>
      </c>
      <c r="I79" s="21"/>
    </row>
    <row r="81" customFormat="false" ht="15" hidden="false" customHeight="false" outlineLevel="0" collapsed="false"/>
    <row r="82" customFormat="false" ht="15" hidden="false" customHeight="true" outlineLevel="0" collapsed="false">
      <c r="A82" s="16" t="s">
        <v>408</v>
      </c>
    </row>
    <row r="83" customFormat="false" ht="15" hidden="false" customHeight="true" outlineLevel="0" collapsed="false">
      <c r="D83" s="1" t="s">
        <v>409</v>
      </c>
      <c r="G83" s="24" t="n">
        <v>0.9</v>
      </c>
      <c r="H83" s="1" t="s">
        <v>282</v>
      </c>
    </row>
    <row r="84" customFormat="false" ht="15" hidden="false" customHeight="true" outlineLevel="0" collapsed="false">
      <c r="D84" s="1" t="s">
        <v>410</v>
      </c>
      <c r="G84" s="24" t="n">
        <v>14.99</v>
      </c>
      <c r="H84" s="1" t="s">
        <v>287</v>
      </c>
    </row>
    <row r="85" customFormat="false" ht="15" hidden="false" customHeight="true" outlineLevel="0" collapsed="false">
      <c r="D85" s="1" t="s">
        <v>411</v>
      </c>
      <c r="G85" s="24" t="n">
        <v>6.99</v>
      </c>
      <c r="H85" s="1" t="s">
        <v>292</v>
      </c>
    </row>
    <row r="86" customFormat="false" ht="15" hidden="false" customHeight="true" outlineLevel="0" collapsed="false">
      <c r="D86" s="1" t="s">
        <v>412</v>
      </c>
      <c r="G86" s="24" t="n">
        <v>17.95</v>
      </c>
      <c r="H86" s="1" t="s">
        <v>198</v>
      </c>
    </row>
    <row r="87" customFormat="false" ht="15" hidden="false" customHeight="true" outlineLevel="0" collapsed="false">
      <c r="D87" s="1" t="s">
        <v>413</v>
      </c>
      <c r="G87" s="24" t="n">
        <v>0.18</v>
      </c>
      <c r="H87" s="1" t="s">
        <v>240</v>
      </c>
    </row>
    <row r="88" customFormat="false" ht="15" hidden="false" customHeight="false" outlineLevel="0" collapsed="false"/>
    <row r="89" customFormat="false" ht="15" hidden="false" customHeight="true" outlineLevel="0" collapsed="false">
      <c r="A89" s="25" t="s">
        <v>414</v>
      </c>
    </row>
  </sheetData>
  <hyperlinks>
    <hyperlink ref="H3" r:id="rId1" display="https://www.amazon.de/dp/B0G1N16Q16"/>
    <hyperlink ref="H4" r:id="rId2" display="https://www.amazon.de/dp/B0B9H3YMT2"/>
    <hyperlink ref="H5" r:id="rId3" display="https://www.amazon.de/dp/B0H41MCVSW"/>
    <hyperlink ref="H6" r:id="rId4" display="https://www.reichelt.de/de/de/shop/produkt/mosfet_p-ch_-30v_-4a_0_041r_sot-23-166486"/>
    <hyperlink ref="H7" r:id="rId5" display="https://www.amazon.de/dp/B08214DJLJ"/>
    <hyperlink ref="H8" r:id="rId6" display="https://www.amazon.de/dp/B0F67KYB4F"/>
    <hyperlink ref="H9" r:id="rId7" display="https://www.amazon.de/dp/B0GVNMS4DZ"/>
    <hyperlink ref="H10" r:id="rId8" display="https://www.berrybase.de/regensensor-mit-digitalem-und-analogem-ausgang"/>
    <hyperlink ref="H11" r:id="rId9" display="https://www.berrybase.de/pololu-s13v10f5-5v-1a-step-up-step-down-converter"/>
    <hyperlink ref="H12" r:id="rId10" display="https://www.berrybase.de/fix-fasten-selbstklebender-fuss-rund-oben-9-5mm-unten-10mm-hoehe-4-5mm-gummi-schwarz"/>
    <hyperlink ref="H13" r:id="rId11" display="https://www.berrybase.de/metallschichtwiderstand-10-0-kohm-1-4w-1-0207-axial-durchsteckmontage"/>
    <hyperlink ref="H14" r:id="rId12" display="https://www.berrybase.de/vierlingslitze-isoliert-4x0-14mm-5m-farbe-blau-gelb-rot-gruen"/>
    <hyperlink ref="H15" r:id="rId13" display="https://www.berrybase.de/schrumpfschlauch-set-100-teilig-in-sortimentsbox-schwarz"/>
    <hyperlink ref="H16" r:id="rId14" display="https://www.berrybase.de/tesa-doppelseitiges-klebeband-10m-x-12mm-transparent-pp-traeger-loesungsmittelfrei"/>
    <hyperlink ref="H17" r:id="rId15" display="https://www.berrybase.de/kabelbinder-uv-bestaendig-nylon-100-stueck/farbe-transparent/masse-100x2-5mm"/>
    <hyperlink ref="H18" r:id="rId16" display="https://www.berrybase.de/bc547b-bipolarer-transistor-npn-45v-100ma-to-92-3-pin"/>
    <hyperlink ref="H19" r:id="rId17" display="https://www.berrybase.de/metallschichtwiderstand-470-0-ohm-1-4w-1-0207-axial-durchsteckmontage"/>
    <hyperlink ref="H20" r:id="rId18" display="https://www.berrybase.de/metallschichtwiderstand-4-7-kohm-1-4w-1-0207-axial-durchsteckmontage"/>
    <hyperlink ref="H31" r:id="rId19" display="https://de.aliexpress.com/item/1005009535167188.html"/>
    <hyperlink ref="H32" r:id="rId20" display="Versand-Hinweis"/>
    <hyperlink ref="H33" r:id="rId21" display="frei ab 49 € nur bei 'Versand durch Amazon' – im Warenkorb prüfen"/>
    <hyperlink ref="H34" r:id="rId22" display="DHL"/>
    <hyperlink ref="H35" r:id="rId23" display="Versandkosten ab 5,95 € (Reichelt-Produktseite, 09.10.2026)"/>
    <hyperlink ref="H36" r:id="rId24" display="Versand nicht lesbar (frei ab 79 €)"/>
    <hyperlink ref="H37" r:id="rId25" display="+ Versand alleschrauben.de (nicht lesbar)"/>
    <hyperlink ref="H38" r:id="rId26" display="https://de.aliexpress.com/item/1005009886368149.html"/>
    <hyperlink ref="H39" r:id="rId27" display="https://www.amazon.de/dp/B0DG8B58PM"/>
    <hyperlink ref="H40" r:id="rId28" display="https://www.amazon.de/dp/B08214DJLJ"/>
    <hyperlink ref="H41" r:id="rId29" display="Link"/>
    <hyperlink ref="H42" r:id="rId30" display="https://de.aliexpress.com/item/1005009535167188.html"/>
    <hyperlink ref="H43" r:id="rId31" display="https://de.aliexpress.com/item/1005009230467552.html"/>
    <hyperlink ref="H44" r:id="rId32" display="https://de.aliexpress.com/item/1005006422072860.html"/>
    <hyperlink ref="H45" r:id="rId33" display="https://de.aliexpress.com/item/1005013255677257.html"/>
    <hyperlink ref="H46" r:id="rId34" display="https://www.berrybase.de/pololu-s13v10f5-5v-1a-step-up-step-down-converter"/>
    <hyperlink ref="H47" r:id="rId35" display="https://de.aliexpress.com/item/1005008607415668.html"/>
    <hyperlink ref="H48" r:id="rId36" display="https://de.aliexpress.com/item/4001171710583.html"/>
    <hyperlink ref="H49" r:id="rId37" display="https://de.aliexpress.com/item/1005009886368149.html"/>
    <hyperlink ref="H50" r:id="rId38" display="https://www.reichelt.de/de/de/shop/produkt/mosfet_p-ch_-30v_-4a_0_041r_sot-23-166486"/>
    <hyperlink ref="H61" r:id="rId39" display="https://www.berrybase.de/metallschichtwiderstand-4-7-kohm-1-4w-1-0207-axial-durchsteckmontage"/>
    <hyperlink ref="H62" r:id="rId40" display="https://www.berrybase.de/metallschichtwiderstand-47-0-kohm-1-4w-1-0207-axial-durchsteckmontage"/>
    <hyperlink ref="H63" r:id="rId41" display="https://www.berrybase.de/metallschichtwiderstand-10-0-kohm-1-4w-1-0207-axial-durchsteckmontage"/>
    <hyperlink ref="H64" r:id="rId42" display="https://www.berrybase.de/smd-breakout-adapter-fuer-sot23-ssop10-msop10-10-pin-0-50mm-0-95mm"/>
    <hyperlink ref="H65" r:id="rId43" display="https://www.berrybase.de/stiftleiste-1x-20-polig-rm-2-54-gera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2026-10-08T09:53:19Z</dcterms:created>
  <dc:creator>openpyxl</dc:creator>
  <dc:description/>
  <dc:language>en-US</dc:language>
  <cp:lastModifiedBy/>
  <dcterms:modified xsi:type="dcterms:W3CDTF">2026-10-09T07:44:31Z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