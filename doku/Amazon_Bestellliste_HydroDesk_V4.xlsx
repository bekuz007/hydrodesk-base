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azon-Bestellliste" sheetId="1" state="visible" r:id="rId1"/>
    <sheet xmlns:r="http://schemas.openxmlformats.org/officeDocument/2006/relationships" name="Andere Shops" sheetId="2" state="visible" r:id="rId2"/>
    <sheet xmlns:r="http://schemas.openxmlformats.org/officeDocument/2006/relationships" name="Vergleich Berryb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mazon.de/dp/B0DS1VRH9Z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berrybase.de/pololu-s13v10f5-5v-1a-step-up-step-down-converter" TargetMode="External" Id="rId1"/><Relationship Type="http://schemas.openxmlformats.org/officeDocument/2006/relationships/hyperlink" Target="https://www.berrybase.de/regensensor-mit-digitalem-und-analogem-ausgang" TargetMode="External" Id="rId2"/><Relationship Type="http://schemas.openxmlformats.org/officeDocument/2006/relationships/hyperlink" Target="https://www.berrybase.de/schiebeschalter-printmontage-on-on-2-stellig-8.6x4.3x4mm-gerade" TargetMode="External" Id="rId3"/><Relationship Type="http://schemas.openxmlformats.org/officeDocument/2006/relationships/hyperlink" Target="https://www.berrybase.de/bc547b-bipolarer-transistor-npn-45v-100ma-to-92-3-pin" TargetMode="External" Id="rId4"/><Relationship Type="http://schemas.openxmlformats.org/officeDocument/2006/relationships/hyperlink" Target="https://www.berrybase.de/metallschichtwiderstand-470-0-ohm-1-4w-1-0207-axial-durchsteckmontage" TargetMode="External" Id="rId5"/><Relationship Type="http://schemas.openxmlformats.org/officeDocument/2006/relationships/hyperlink" Target="https://www.berrybase.de/metallschichtwiderstand-4-7-kohm-1-4w-1-0207-axial-durchsteckmontage" TargetMode="External" Id="rId6"/><Relationship Type="http://schemas.openxmlformats.org/officeDocument/2006/relationships/hyperlink" Target="https://www.berrybase.de/metallschichtwiderstand-47-0-kohm-1-4w-1-0207-axial-durchsteckmontage" TargetMode="External" Id="rId7"/><Relationship Type="http://schemas.openxmlformats.org/officeDocument/2006/relationships/hyperlink" Target="https://www.berrybase.de/metallschichtwiderstand-10-0-kohm-1-4w-1-0207-axial-durchsteckmontage" TargetMode="External" Id="rId8"/><Relationship Type="http://schemas.openxmlformats.org/officeDocument/2006/relationships/hyperlink" Target="https://www.berrybase.de/elektrolytkondensator-470-f-25v-1050c-1-radial-tht" TargetMode="External" Id="rId9"/><Relationship Type="http://schemas.openxmlformats.org/officeDocument/2006/relationships/hyperlink" Target="https://www.berrybase.de/smd-breakout-adapter-fuer-sot23-ssop10-msop10-10-pin-0-50mm-0-95mm" TargetMode="External" Id="rId10"/><Relationship Type="http://schemas.openxmlformats.org/officeDocument/2006/relationships/hyperlink" Target="https://www.berrybase.de/stiftleiste-1x-20-polig-rm-2-54-gerade" TargetMode="External" Id="rId11"/><Relationship Type="http://schemas.openxmlformats.org/officeDocument/2006/relationships/hyperlink" Target="https://www.berrybase.de/lochrasterplatine-doppelseitig-3x7cm-10-stueck" TargetMode="External" Id="rId12"/><Relationship Type="http://schemas.openxmlformats.org/officeDocument/2006/relationships/hyperlink" Target="https://www.berrybase.de/vierlingslitze-isoliert-4x0-14mm-5m-farbe-blau-gelb-rot-gruen" TargetMode="External" Id="rId13"/><Relationship Type="http://schemas.openxmlformats.org/officeDocument/2006/relationships/hyperlink" Target="https://www.berrybase.de/schrumpfschlauch-set-100-teilig-in-sortimentsbox-schwarz" TargetMode="External" Id="rId14"/><Relationship Type="http://schemas.openxmlformats.org/officeDocument/2006/relationships/hyperlink" Target="https://www.berrybase.de/tesa-doppelseitiges-klebeband-10m-x-12mm-transparent-pp-traeger-loesungsmittelfrei" TargetMode="External" Id="rId15"/><Relationship Type="http://schemas.openxmlformats.org/officeDocument/2006/relationships/hyperlink" Target="https://www.berrybase.de/kabelbinder-uv-bestaendig-nylon-100-stueck/farbe-transparent/masse-100x2-5mm" TargetMode="External" Id="rId16"/><Relationship Type="http://schemas.openxmlformats.org/officeDocument/2006/relationships/hyperlink" Target="https://www.reichelt.de/de/de/shop/produkt/mosfet_p-ch_-30v_-4a_0_041r_sot-23-166486" TargetMode="External" Id="rId17"/><Relationship Type="http://schemas.openxmlformats.org/officeDocument/2006/relationships/hyperlink" Target="https://openelab.de/products/micro-sd-sniffe-tf-adapter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7" customWidth="1" min="3" max="3"/>
    <col width="44" customWidth="1" min="4" max="4"/>
    <col width="36" customWidth="1" min="5" max="5"/>
    <col width="34" customWidth="1" min="6" max="6"/>
    <col width="9" customWidth="1" min="7" max="7"/>
    <col width="10" customWidth="1" min="8" max="8"/>
    <col width="50" customWidth="1" min="9" max="9"/>
    <col width="60" customWidth="1" min="10" max="10"/>
  </cols>
  <sheetData>
    <row r="1">
      <c r="A1" s="1" t="inlineStr">
        <is>
          <t>HydroDesk Base V4 – Amazon-Bestellliste, Preise geprüft am 16.10.2026 (amazon.de, Lieferadresse DE)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3" t="inlineStr">
        <is>
          <t>A) Amazon – Pflicht (Versand durch Amazon)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Pos</t>
        </is>
      </c>
      <c r="B4" s="4" t="inlineStr">
        <is>
          <t>Teil</t>
        </is>
      </c>
      <c r="C4" s="4" t="inlineStr">
        <is>
          <t>Menge</t>
        </is>
      </c>
      <c r="D4" s="4" t="inlineStr">
        <is>
          <t>Amazon-Titel</t>
        </is>
      </c>
      <c r="E4" s="4" t="inlineStr">
        <is>
          <t>ASIN/Link</t>
        </is>
      </c>
      <c r="F4" s="4" t="inlineStr">
        <is>
          <t>Variante wählen</t>
        </is>
      </c>
      <c r="G4" s="4" t="inlineStr">
        <is>
          <t>Preis</t>
        </is>
      </c>
      <c r="H4" s="4" t="inlineStr">
        <is>
          <t>Packung</t>
        </is>
      </c>
      <c r="I4" s="4" t="inlineStr">
        <is>
          <t>passt weil</t>
        </is>
      </c>
      <c r="J4" s="4" t="inlineStr">
        <is>
          <t>Hinweis</t>
        </is>
      </c>
    </row>
    <row r="5">
      <c r="A5" s="2" t="n">
        <v>1</v>
      </c>
      <c r="B5" s="2" t="inlineStr">
        <is>
          <t>CYD ESP32-2432S028R 2,8"</t>
        </is>
      </c>
      <c r="C5" s="2" t="n">
        <v>1</v>
      </c>
      <c r="D5" s="2" t="inlineStr">
        <is>
          <t>Fastsaw ESP32 Entwicklungsboard 2.8 Inch Touch TFT ILI9341 320x240</t>
        </is>
      </c>
      <c r="E5" s="2" t="inlineStr">
        <is>
          <t>https://www.amazon.de/dp/B0G1N16Q16</t>
        </is>
      </c>
      <c r="F5" s="2" t="inlineStr">
        <is>
          <t>„Colour Name“ 1 oder 2: Bild prüfen, Platine muss „ESP32-2432S028R“ heißen</t>
        </is>
      </c>
      <c r="G5" s="5" t="n">
        <v>17.99</v>
      </c>
      <c r="H5" s="2" t="inlineStr">
        <is>
          <t>1 Stk</t>
        </is>
      </c>
      <c r="I5" s="2" t="inlineStr">
        <is>
          <t>ILI9341 2,8" Touch, 240 MHz, microSD-Slot, USB-C; Versand durch Amazon, auf Lager</t>
        </is>
      </c>
      <c r="J5" s="2" t="inlineStr">
        <is>
          <t>Doku dünn (Rezension); 4-pol. JST-1,25-Kabel evtl. nicht dabei</t>
        </is>
      </c>
    </row>
    <row r="6">
      <c r="A6" s="2" t="n">
        <v>2</v>
      </c>
      <c r="B6" s="2" t="inlineStr">
        <is>
          <t>Wägezelle 5 kg + HX711</t>
        </is>
      </c>
      <c r="C6" s="2" t="n">
        <v>1</v>
      </c>
      <c r="D6" s="2" t="inlineStr">
        <is>
          <t>DIYmalls Wägezelle 5 kg + HX711</t>
        </is>
      </c>
      <c r="E6" s="2" t="inlineStr">
        <is>
          <t>https://www.amazon.de/dp/B0B9H3YMT2</t>
        </is>
      </c>
      <c r="F6" s="2" t="inlineStr">
        <is>
          <t>5 kg</t>
        </is>
      </c>
      <c r="G6" s="5" t="n">
        <v>8.970000000000001</v>
      </c>
      <c r="H6" s="2" t="inlineStr">
        <is>
          <t>1 Satz</t>
        </is>
      </c>
      <c r="I6" s="2" t="inlineStr">
        <is>
          <t>TAL220-Bauform (80×12,7×12,7, M4/M5) wie in der SCAD; Versand durch Amazon</t>
        </is>
      </c>
      <c r="J6" s="2" t="inlineStr">
        <is>
          <t>HX711-Stiftleiste selbst löten</t>
        </is>
      </c>
    </row>
    <row r="7">
      <c r="A7" s="2" t="n">
        <v>3</v>
      </c>
      <c r="B7" s="2" t="inlineStr">
        <is>
          <t>COB-LED-Streifen WS2812B FCOB</t>
        </is>
      </c>
      <c r="C7" s="2" t="n">
        <v>1</v>
      </c>
      <c r="D7" s="2" t="inlineStr">
        <is>
          <t>BTF-LIGHTING WS2812B FCOB 1 m 160 LEDs/m 5 V</t>
        </is>
      </c>
      <c r="E7" s="2" t="inlineStr">
        <is>
          <t>https://www.amazon.de/dp/B0H41MCVSW</t>
        </is>
      </c>
      <c r="F7" s="2" t="inlineStr">
        <is>
          <t>„1M 160LEDs/m 5mm“ (NICHT 180LEDs/10mm, nicht 5M)</t>
        </is>
      </c>
      <c r="G7" s="5" t="n">
        <v>16.99</v>
      </c>
      <c r="H7" s="2" t="inlineStr">
        <is>
          <t>1 m</t>
        </is>
      </c>
      <c r="I7" s="2" t="inlineStr">
        <is>
          <t>5 mm breit, 1 IC/LED, Schnitt alle 12,5 mm → 13 Segmente = 26 LEDs; Versand durch Amazon</t>
        </is>
      </c>
      <c r="J7" s="2" t="inlineStr">
        <is>
          <t>Nur 18 auf Lager; 1 Rezension: Lötstellen schlecht → nach Lieferung prüfen</t>
        </is>
      </c>
    </row>
    <row r="8">
      <c r="A8" s="2" t="n">
        <v>4</v>
      </c>
      <c r="B8" s="2" t="inlineStr">
        <is>
          <t>LiPo EEMB LP103454 2000 mAh</t>
        </is>
      </c>
      <c r="C8" s="2" t="n">
        <v>1</v>
      </c>
      <c r="D8" s="2" t="inlineStr">
        <is>
          <t>EEMB 3,7V 2000mAh LiPo 103454 mit JST2.0-Stecker</t>
        </is>
      </c>
      <c r="E8" s="2" t="inlineStr">
        <is>
          <t>https://www.amazon.de/dp/B08214DJLJ</t>
        </is>
      </c>
      <c r="F8" s="2" t="inlineStr">
        <is>
          <t>1 Stück</t>
        </is>
      </c>
      <c r="G8" s="5" t="n">
        <v>10.99</v>
      </c>
      <c r="H8" s="2" t="inlineStr">
        <is>
          <t>1 Stk</t>
        </is>
      </c>
      <c r="I8" s="2" t="inlineStr">
        <is>
          <t>34,5×56×10,3 mm (Bild: 10,6) passt ins Akkufach; PCM-Schutz (Über-/Tiefentladung, Kurzschluss); JST-PHR-02</t>
        </is>
      </c>
      <c r="J8" s="2" t="inlineStr">
        <is>
          <t>POLARITÄT vor dem Anstecken messen (rot=+ laut Seite, Rezensionen warnen)</t>
        </is>
      </c>
    </row>
    <row r="9">
      <c r="A9" s="2" t="n">
        <v>5</v>
      </c>
      <c r="B9" s="2" t="inlineStr">
        <is>
          <t>TC4056 USB-C Lader</t>
        </is>
      </c>
      <c r="C9" s="2" t="n">
        <v>1</v>
      </c>
      <c r="D9" s="2" t="inlineStr">
        <is>
          <t>Dozylive 10 x TC4056 USB Type C Ladeplatine</t>
        </is>
      </c>
      <c r="E9" s="2" t="inlineStr">
        <is>
          <t>https://www.amazon.de/dp/B0F67KYB4F</t>
        </is>
      </c>
      <c r="F9" s="2" t="inlineStr">
        <is>
          <t>10er Pack</t>
        </is>
      </c>
      <c r="G9" s="5" t="n">
        <v>6.99</v>
      </c>
      <c r="H9" s="2" t="inlineStr">
        <is>
          <t>10 Stk</t>
        </is>
      </c>
      <c r="I9" s="2" t="inlineStr">
        <is>
          <t>4,2 V Ladeschluss, 1 A, Schutz 2,5 V; 10 Stück = Reserve</t>
        </is>
      </c>
      <c r="J9" s="2" t="inlineStr">
        <is>
          <t>Länge nicht angegeben: Fach 26 mm → nachmessen; ohne CC-Widerstände lädt er nur mit USB-A→C-Kabel</t>
        </is>
      </c>
    </row>
    <row r="10">
      <c r="A10" s="2" t="n">
        <v>6</v>
      </c>
      <c r="B10" s="2" t="inlineStr">
        <is>
          <t>Gummifüße Ø12</t>
        </is>
      </c>
      <c r="C10" s="2" t="n">
        <v>4</v>
      </c>
      <c r="D10" s="2" t="inlineStr">
        <is>
          <t>InLine Gummipads selbstklebend 12 mm schwarz, 20 Stück</t>
        </is>
      </c>
      <c r="E10" s="2" t="inlineStr">
        <is>
          <t>https://www.amazon.de/dp/B09LDCTQGY</t>
        </is>
      </c>
      <c r="F10" s="2" t="inlineStr">
        <is>
          <t>schwarz, 20 Stk</t>
        </is>
      </c>
      <c r="G10" s="5" t="n">
        <v>5.45</v>
      </c>
      <c r="H10" s="2" t="inlineStr">
        <is>
          <t>20 Stk</t>
        </is>
      </c>
      <c r="I10" s="2" t="inlineStr">
        <is>
          <t>Ø12 mm (Mulde max. 13 mm), 3,6 mm hoch; Verkauf durch Amazon</t>
        </is>
      </c>
      <c r="J10" s="2" t="inlineStr"/>
    </row>
    <row r="11">
      <c r="A11" s="2" t="n">
        <v>7</v>
      </c>
      <c r="B11" s="2" t="inlineStr">
        <is>
          <t>Silikonmatte (auf 86×86 zuschneiden)</t>
        </is>
      </c>
      <c r="C11" s="2" t="n">
        <v>1</v>
      </c>
      <c r="D11" s="2" t="inlineStr">
        <is>
          <t>YYBYEU Silikonmatte 70x50 cm, 1 mm, schwarz</t>
        </is>
      </c>
      <c r="E11" s="2" t="inlineStr">
        <is>
          <t>https://www.amazon.de/dp/B0DS1VRH9Z</t>
        </is>
      </c>
      <c r="F11" s="2" t="inlineStr">
        <is>
          <t>schwarz</t>
        </is>
      </c>
      <c r="G11" s="5" t="n">
        <v>12.49</v>
      </c>
      <c r="H11" s="2" t="inlineStr">
        <is>
          <t>1 Matte 70×50 cm</t>
        </is>
      </c>
      <c r="I11" s="2" t="inlineStr">
        <is>
          <t>1 mm dick, Versand Amazon, auf Lager (16.10.26). Alt.: B0B11N653N LEOBRO 1,3 mm 15,99 €; B0GVNMS4DZ 1,2 mm 7,59 €</t>
        </is>
      </c>
      <c r="J11" s="2" t="inlineStr"/>
    </row>
    <row r="12">
      <c r="A12" s="2" t="n">
        <v>8</v>
      </c>
      <c r="B12" s="2" t="inlineStr">
        <is>
          <t>Schrauben M3×12 (8), M4 (2), M5×12 (2)</t>
        </is>
      </c>
      <c r="C12" s="2" t="n">
        <v>1</v>
      </c>
      <c r="D12" s="2" t="inlineStr">
        <is>
          <t>VIGRUE 1120 tlg. Senkkopf Innensechskant A2 M3–M6</t>
        </is>
      </c>
      <c r="E12" s="2" t="inlineStr">
        <is>
          <t>https://www.amazon.de/dp/B09XQMQNYY</t>
        </is>
      </c>
      <c r="F12" s="2" t="inlineStr">
        <is>
          <t>–</t>
        </is>
      </c>
      <c r="G12" s="5" t="n">
        <v>26.59</v>
      </c>
      <c r="H12" s="2" t="inlineStr">
        <is>
          <t>1120 tlg.</t>
        </is>
      </c>
      <c r="I12" s="2" t="inlineStr">
        <is>
          <t>enthält M3×12, M4×12, M5×12 Senkkopf Innensechskant</t>
        </is>
      </c>
      <c r="J12" s="2" t="inlineStr">
        <is>
          <t>M4×12 statt ×10: geprüft in SCAD, Spitze bleibt in der 12,7-mm-Wägezelle (ca. 7,4 mm Eingriff) → passt. Teuer: alleschrauben.de ca. 4,86 € + Versand</t>
        </is>
      </c>
    </row>
    <row r="13">
      <c r="A13" s="2" t="inlineStr"/>
      <c r="B13" s="3" t="inlineStr">
        <is>
          <t>Summe A</t>
        </is>
      </c>
      <c r="C13" s="2" t="inlineStr"/>
      <c r="D13" s="2" t="inlineStr"/>
      <c r="E13" s="2" t="inlineStr"/>
      <c r="F13" s="2" t="inlineStr"/>
      <c r="G13" s="5" t="n">
        <v>106.46</v>
      </c>
      <c r="H13" s="2" t="n"/>
      <c r="I13" s="2" t="n"/>
      <c r="J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3" t="inlineStr">
        <is>
          <t>B) Amazon – nur wenn du KEINEN zweiten Shop willst (teurer, Händlerversand)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4" t="inlineStr">
        <is>
          <t>Pos</t>
        </is>
      </c>
      <c r="B16" s="4" t="inlineStr">
        <is>
          <t>Teil</t>
        </is>
      </c>
      <c r="C16" s="4" t="inlineStr">
        <is>
          <t>Menge</t>
        </is>
      </c>
      <c r="D16" s="4" t="inlineStr">
        <is>
          <t>Amazon-Titel</t>
        </is>
      </c>
      <c r="E16" s="4" t="inlineStr">
        <is>
          <t>ASIN/Link</t>
        </is>
      </c>
      <c r="F16" s="4" t="inlineStr">
        <is>
          <t>Variante wählen</t>
        </is>
      </c>
      <c r="G16" s="4" t="inlineStr">
        <is>
          <t>Preis</t>
        </is>
      </c>
      <c r="H16" s="4" t="inlineStr">
        <is>
          <t>Packung</t>
        </is>
      </c>
      <c r="I16" s="4" t="inlineStr">
        <is>
          <t>passt weil</t>
        </is>
      </c>
      <c r="J16" s="4" t="inlineStr">
        <is>
          <t>Hinweis</t>
        </is>
      </c>
    </row>
    <row r="17">
      <c r="A17" s="2" t="n">
        <v>9</v>
      </c>
      <c r="B17" s="2" t="inlineStr">
        <is>
          <t>P-MOSFET AO3401 (SOT-23)</t>
        </is>
      </c>
      <c r="C17" s="2" t="n">
        <v>2</v>
      </c>
      <c r="D17" s="2" t="inlineStr">
        <is>
          <t>Chanzon AO3401 SOT-23 P-Kanal 4A, 100 Stück</t>
        </is>
      </c>
      <c r="E17" s="2" t="inlineStr">
        <is>
          <t>https://www.amazon.de/dp/B08LVLLC1V</t>
        </is>
      </c>
      <c r="F17" s="2" t="inlineStr">
        <is>
          <t>100er</t>
        </is>
      </c>
      <c r="G17" s="5" t="n">
        <v>18.99</v>
      </c>
      <c r="H17" s="2" t="inlineStr">
        <is>
          <t>100 Stk</t>
        </is>
      </c>
      <c r="I17" s="2" t="inlineStr">
        <is>
          <t>AO3401 = gleiche Daten wie AO3401A (-30 V/-4 A, SOT-23)</t>
        </is>
      </c>
      <c r="J17" s="2" t="inlineStr">
        <is>
          <t>Versand durch Händler (Chanzon DE), Lieferung 23.–26.10.; günstiger: Reichelt 2×0,17 € + 5,95 € Versand</t>
        </is>
      </c>
    </row>
    <row r="18">
      <c r="A18" s="2" t="n">
        <v>10</v>
      </c>
      <c r="B18" s="2" t="inlineStr">
        <is>
          <t>Transistor BC547</t>
        </is>
      </c>
      <c r="C18" s="2" t="n">
        <v>1</v>
      </c>
      <c r="D18" s="2" t="inlineStr">
        <is>
          <t>Tyenaza BC-Transistor-Sortiment 200 Stk (BC327…BC558)</t>
        </is>
      </c>
      <c r="E18" s="2" t="inlineStr">
        <is>
          <t>https://www.amazon.de/dp/B097XRFK3H</t>
        </is>
      </c>
      <c r="F18" s="2" t="inlineStr">
        <is>
          <t>–</t>
        </is>
      </c>
      <c r="G18" s="5" t="n">
        <v>9.49</v>
      </c>
      <c r="H18" s="2" t="inlineStr">
        <is>
          <t>200 Stk</t>
        </is>
      </c>
      <c r="I18" s="2" t="inlineStr">
        <is>
          <t>enthält 20× BC547 (TO-92)</t>
        </is>
      </c>
      <c r="J18" s="2" t="inlineStr">
        <is>
          <t>Nur 8 auf Lager; „manuell sortiert“; nur nötig, wenn nicht bei Berrybase (0,17 €)</t>
        </is>
      </c>
    </row>
    <row r="19">
      <c r="A19" s="2" t="n">
        <v>11</v>
      </c>
      <c r="B19" s="2" t="inlineStr">
        <is>
          <t>Schiebeschalter C&amp;K OS102011MS2QN1</t>
        </is>
      </c>
      <c r="C19" s="2" t="n">
        <v>1</v>
      </c>
      <c r="D19" s="2" t="inlineStr">
        <is>
          <t>C &amp; K os102011ms2qn1 Schiebeschalter SPDT On-On, 10 Stk</t>
        </is>
      </c>
      <c r="E19" s="2" t="inlineStr">
        <is>
          <t>https://www.amazon.de/dp/B011NM291G</t>
        </is>
      </c>
      <c r="F19" s="2" t="inlineStr">
        <is>
          <t>10er</t>
        </is>
      </c>
      <c r="G19" s="5" t="n">
        <v>16.13</v>
      </c>
      <c r="H19" s="2" t="inlineStr">
        <is>
          <t>10 Stk</t>
        </is>
      </c>
      <c r="I19" s="2" t="inlineStr">
        <is>
          <t>Original-Teilenummer → passt exakt in die Wandtasche (8,6×4,3×4)</t>
        </is>
      </c>
      <c r="J19" s="2" t="inlineStr">
        <is>
          <t>Händler HD TEC LTD, Lieferung 28.–31.10.; Seite widersprüchlich (ON-OFF/vertikal). Berrybase 0,70 € ist besser</t>
        </is>
      </c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3" t="inlineStr">
        <is>
          <t>C) Amazon – optional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4" t="inlineStr">
        <is>
          <t>Pos</t>
        </is>
      </c>
      <c r="B22" s="4" t="inlineStr">
        <is>
          <t>Teil</t>
        </is>
      </c>
      <c r="C22" s="4" t="inlineStr">
        <is>
          <t>Menge</t>
        </is>
      </c>
      <c r="D22" s="4" t="inlineStr">
        <is>
          <t>Amazon-Titel</t>
        </is>
      </c>
      <c r="E22" s="4" t="inlineStr">
        <is>
          <t>ASIN/Link</t>
        </is>
      </c>
      <c r="F22" s="4" t="inlineStr">
        <is>
          <t>Variante wählen</t>
        </is>
      </c>
      <c r="G22" s="4" t="inlineStr">
        <is>
          <t>Preis</t>
        </is>
      </c>
      <c r="H22" s="4" t="inlineStr">
        <is>
          <t>Packung</t>
        </is>
      </c>
      <c r="I22" s="4" t="inlineStr">
        <is>
          <t>passt weil</t>
        </is>
      </c>
      <c r="J22" s="4" t="inlineStr">
        <is>
          <t>Hinweis</t>
        </is>
      </c>
    </row>
    <row r="23">
      <c r="A23" s="2" t="n">
        <v>12</v>
      </c>
      <c r="B23" s="2" t="inlineStr">
        <is>
          <t>PLA weiß (Diffusor + Gehäuse)</t>
        </is>
      </c>
      <c r="C23" s="2" t="n">
        <v>1</v>
      </c>
      <c r="D23" s="2" t="inlineStr">
        <is>
          <t>ELEGOO PLA 1,75 mm Weiß 1 kg</t>
        </is>
      </c>
      <c r="E23" s="2" t="inlineStr">
        <is>
          <t>https://www.amazon.de/dp/B0CD7B7ZKK</t>
        </is>
      </c>
      <c r="F23" s="2" t="inlineStr">
        <is>
          <t>Weiß, 1KG</t>
        </is>
      </c>
      <c r="G23" s="5" t="n">
        <v>13.99</v>
      </c>
      <c r="H23" s="2" t="inlineStr">
        <is>
          <t>1 kg</t>
        </is>
      </c>
      <c r="I23" s="2" t="inlineStr">
        <is>
          <t>weißes PLA für den Diffusor (ca. 128 g gesamt)</t>
        </is>
      </c>
      <c r="J23" s="2" t="inlineStr">
        <is>
          <t>nur falls die Schule kein Filament stellt</t>
        </is>
      </c>
    </row>
    <row r="24">
      <c r="A24" s="2" t="n">
        <v>13</v>
      </c>
      <c r="B24" s="2" t="inlineStr">
        <is>
          <t>Schrumpfschlauch</t>
        </is>
      </c>
      <c r="C24" s="2" t="n">
        <v>1</v>
      </c>
      <c r="D24" s="2" t="inlineStr">
        <is>
          <t>QUADRIOS 800 tlg. Schrumpfschlauch 2:1</t>
        </is>
      </c>
      <c r="E24" s="2" t="inlineStr">
        <is>
          <t>https://www.amazon.de/dp/B07X27DFM5</t>
        </is>
      </c>
      <c r="F24" s="2" t="inlineStr">
        <is>
          <t>schwarz/rot</t>
        </is>
      </c>
      <c r="G24" s="5" t="n">
        <v>12.99</v>
      </c>
      <c r="H24" s="2" t="inlineStr">
        <is>
          <t>800 tlg.</t>
        </is>
      </c>
      <c r="I24" s="2" t="inlineStr">
        <is>
          <t>1,5–12 mm</t>
        </is>
      </c>
      <c r="J24" s="2" t="inlineStr">
        <is>
          <t>optional, Berrybase 2,80 € reicht</t>
        </is>
      </c>
    </row>
    <row r="25">
      <c r="A25" s="2" t="n">
        <v>14</v>
      </c>
      <c r="B25" s="2" t="inlineStr">
        <is>
          <t>Doppelseitiges Schaumklebeband</t>
        </is>
      </c>
      <c r="C25" s="2" t="n">
        <v>1</v>
      </c>
      <c r="D25" s="2" t="inlineStr">
        <is>
          <t>tesa Powerbond Ultra Strong 19 mm</t>
        </is>
      </c>
      <c r="E25" s="2" t="inlineStr">
        <is>
          <t>https://www.amazon.de/dp/B0171QJJ4S</t>
        </is>
      </c>
      <c r="F25" s="2" t="inlineStr">
        <is>
          <t>19 mm x 1500 mm wählen, falls günstiger (5 m = 15,95 €)</t>
        </is>
      </c>
      <c r="G25" s="5" t="n">
        <v>15.95</v>
      </c>
      <c r="H25" s="2" t="inlineStr">
        <is>
          <t>5 m</t>
        </is>
      </c>
      <c r="I25" s="2" t="inlineStr">
        <is>
          <t>fixiert Pololu, HX711, LM393 in den Fächern</t>
        </is>
      </c>
      <c r="J25" s="2" t="inlineStr">
        <is>
          <t>optional, Berrybase TESA 2,90 € reicht</t>
        </is>
      </c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>
      <c r="A27" s="3" t="inlineStr">
        <is>
          <t>D) Nicht (sinnvoll) bei Amazon → Berrybase (Preise vom 09.10.2026, vor Bestellung prüfen)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>
      <c r="A28" s="2" t="inlineStr"/>
      <c r="B28" s="2" t="inlineStr">
        <is>
          <t>Teil</t>
        </is>
      </c>
      <c r="C28" s="2" t="inlineStr">
        <is>
          <t>Menge</t>
        </is>
      </c>
      <c r="D28" s="2" t="inlineStr"/>
      <c r="E28" s="2" t="inlineStr">
        <is>
          <t>Link</t>
        </is>
      </c>
      <c r="F28" s="2" t="inlineStr"/>
      <c r="G28" s="2" t="inlineStr">
        <is>
          <t>Preis</t>
        </is>
      </c>
      <c r="H28" s="2" t="inlineStr"/>
      <c r="I28" s="2" t="inlineStr"/>
      <c r="J28" s="2" t="inlineStr">
        <is>
          <t>Warum nicht Amazon</t>
        </is>
      </c>
    </row>
    <row r="29">
      <c r="A29" s="2" t="inlineStr">
        <is>
          <t>D1</t>
        </is>
      </c>
      <c r="B29" s="2" t="inlineStr">
        <is>
          <t>Pololu S13V10F5 5 V 1 A Step-Up/Down</t>
        </is>
      </c>
      <c r="C29" s="2" t="n">
        <v>1</v>
      </c>
      <c r="D29" s="2" t="inlineStr"/>
      <c r="E29" s="2" t="inlineStr">
        <is>
          <t>https://www.berrybase.de/pololu-s13v10f5-5v-1a-step-up-step-down-converter</t>
        </is>
      </c>
      <c r="F29" s="2" t="inlineStr"/>
      <c r="G29" s="5" t="n">
        <v>9.949999999999999</v>
      </c>
      <c r="H29" s="2" t="inlineStr"/>
      <c r="I29" s="2" t="inlineStr"/>
      <c r="J29" s="2" t="inlineStr">
        <is>
          <t>Auf Amazon.de nicht gelistet (nur S9V11F5S6CMA, nicht verfügbar). TPS63020-Module: auf Amazon.de keine prüfbare Seite gefunden, 5 V nur ca. 0,9–1,3 A, Maße unbekannt → nicht empfohlen. Andere Shops: Eckstein 11,80 €, Botland 7,90 €</t>
        </is>
      </c>
    </row>
    <row r="30">
      <c r="A30" s="2" t="inlineStr">
        <is>
          <t>D2</t>
        </is>
      </c>
      <c r="B30" s="2" t="inlineStr">
        <is>
          <t>Regensensor LM393</t>
        </is>
      </c>
      <c r="C30" s="2" t="n">
        <v>1</v>
      </c>
      <c r="D30" s="2" t="inlineStr"/>
      <c r="E30" s="2" t="inlineStr">
        <is>
          <t>https://www.berrybase.de/regensensor-mit-digitalem-und-analogem-ausgang</t>
        </is>
      </c>
      <c r="F30" s="2" t="inlineStr"/>
      <c r="G30" s="5" t="n">
        <v>1.8</v>
      </c>
      <c r="H30" s="2" t="inlineStr"/>
      <c r="I30" s="2" t="inlineStr"/>
      <c r="J30" s="2" t="inlineStr">
        <is>
          <t>AZDelivery 1er/3er/5er auf Amazon.de alle „derzeit nicht verfügbar“ (16.10.)</t>
        </is>
      </c>
    </row>
    <row r="31">
      <c r="A31" s="2" t="inlineStr">
        <is>
          <t>D3</t>
        </is>
      </c>
      <c r="B31" s="2" t="inlineStr">
        <is>
          <t>Schiebeschalter C&amp;K OS102011MS2QN1</t>
        </is>
      </c>
      <c r="C31" s="2" t="n">
        <v>1</v>
      </c>
      <c r="D31" s="2" t="inlineStr"/>
      <c r="E31" s="2" t="inlineStr">
        <is>
          <t>https://www.berrybase.de/schiebeschalter-printmontage-on-on-2-stellig-8.6x4.3x4mm-gerade</t>
        </is>
      </c>
      <c r="F31" s="2" t="inlineStr"/>
      <c r="G31" s="5" t="n">
        <v>0.7</v>
      </c>
      <c r="H31" s="2" t="inlineStr"/>
      <c r="I31" s="2" t="inlineStr"/>
      <c r="J31" s="2" t="inlineStr">
        <is>
          <t>Amazon nur 10er für 16,13 €; generische SS12D00 (8,5×3,5) passen NICHT sicher in die Tasche</t>
        </is>
      </c>
    </row>
    <row r="32">
      <c r="A32" s="2" t="inlineStr">
        <is>
          <t>D4</t>
        </is>
      </c>
      <c r="B32" s="2" t="inlineStr">
        <is>
          <t>BC547B</t>
        </is>
      </c>
      <c r="C32" s="2" t="n">
        <v>1</v>
      </c>
      <c r="D32" s="2" t="inlineStr"/>
      <c r="E32" s="2" t="inlineStr">
        <is>
          <t>https://www.berrybase.de/bc547b-bipolarer-transistor-npn-45v-100ma-to-92-3-pin</t>
        </is>
      </c>
      <c r="F32" s="2" t="inlineStr"/>
      <c r="G32" s="5" t="n">
        <v>0.17</v>
      </c>
      <c r="H32" s="2" t="inlineStr"/>
      <c r="I32" s="2" t="inlineStr"/>
      <c r="J32" s="2" t="inlineStr"/>
    </row>
    <row r="33">
      <c r="A33" s="2" t="inlineStr">
        <is>
          <t>D5</t>
        </is>
      </c>
      <c r="B33" s="2" t="inlineStr">
        <is>
          <t>Widerstände 470 Ω, 4,7 kΩ, 2×47 kΩ, 3×10 kΩ</t>
        </is>
      </c>
      <c r="C33" s="2" t="n">
        <v>1</v>
      </c>
      <c r="D33" s="2" t="inlineStr"/>
      <c r="E33" s="2" t="inlineStr">
        <is>
          <t>siehe Einkaufsliste_HydroDesk_guenstig.xlsx</t>
        </is>
      </c>
      <c r="F33" s="2" t="inlineStr"/>
      <c r="G33" s="5" t="n">
        <v>0.36</v>
      </c>
      <c r="H33" s="2" t="inlineStr"/>
      <c r="I33" s="2" t="inlineStr"/>
      <c r="J33" s="2" t="inlineStr">
        <is>
          <t>Amazon-Sortimente: nicht verfügbar oder Lieferung erst Nov.</t>
        </is>
      </c>
    </row>
    <row r="34">
      <c r="A34" s="2" t="inlineStr">
        <is>
          <t>D6</t>
        </is>
      </c>
      <c r="B34" s="2" t="inlineStr">
        <is>
          <t>Elko 470 µF/25 V</t>
        </is>
      </c>
      <c r="C34" s="2" t="n">
        <v>1</v>
      </c>
      <c r="D34" s="2" t="inlineStr"/>
      <c r="E34" s="2" t="inlineStr">
        <is>
          <t>https://www.berrybase.de/elektrolytkondensator-470-f-25v-1050c-1-radial-tht</t>
        </is>
      </c>
      <c r="F34" s="2" t="inlineStr"/>
      <c r="G34" s="5" t="n">
        <v>0.1</v>
      </c>
      <c r="H34" s="2" t="inlineStr"/>
      <c r="I34" s="2" t="inlineStr"/>
      <c r="J34" s="2" t="inlineStr">
        <is>
          <t>AZDelivery-Elko-Sortiment auf Amazon nicht verfügbar</t>
        </is>
      </c>
    </row>
    <row r="35">
      <c r="A35" s="2" t="inlineStr">
        <is>
          <t>D7</t>
        </is>
      </c>
      <c r="B35" s="2" t="inlineStr">
        <is>
          <t>2× SOT-23-Adapter</t>
        </is>
      </c>
      <c r="C35" s="2" t="n">
        <v>2</v>
      </c>
      <c r="D35" s="2" t="inlineStr"/>
      <c r="E35" s="2" t="inlineStr">
        <is>
          <t>https://www.berrybase.de/smd-breakout-adapter-fuer-sot23-ssop10-msop10-10-pin-0-50mm-0-95mm</t>
        </is>
      </c>
      <c r="F35" s="2" t="inlineStr"/>
      <c r="G35" s="5" t="n">
        <v>0.64</v>
      </c>
      <c r="H35" s="2" t="inlineStr"/>
      <c r="I35" s="2" t="inlineStr"/>
      <c r="J35" s="2" t="inlineStr">
        <is>
          <t>auf Amazon.de kein Angebot gefunden</t>
        </is>
      </c>
    </row>
    <row r="36">
      <c r="A36" s="2" t="inlineStr">
        <is>
          <t>D8</t>
        </is>
      </c>
      <c r="B36" s="2" t="inlineStr">
        <is>
          <t>Stiftleiste 1×20 RM 2,54</t>
        </is>
      </c>
      <c r="C36" s="2" t="n">
        <v>1</v>
      </c>
      <c r="D36" s="2" t="inlineStr"/>
      <c r="E36" s="2" t="inlineStr">
        <is>
          <t>https://www.berrybase.de/stiftleiste-1x-20-polig-rm-2-54-gerade</t>
        </is>
      </c>
      <c r="F36" s="2" t="inlineStr"/>
      <c r="G36" s="5" t="n">
        <v>0.2</v>
      </c>
      <c r="H36" s="2" t="inlineStr"/>
      <c r="I36" s="2" t="inlineStr"/>
      <c r="J36" s="2" t="inlineStr"/>
    </row>
    <row r="37">
      <c r="A37" s="2" t="inlineStr">
        <is>
          <t>D9</t>
        </is>
      </c>
      <c r="B37" s="2" t="inlineStr">
        <is>
          <t>Lochrasterplatine</t>
        </is>
      </c>
      <c r="C37" s="2" t="n">
        <v>1</v>
      </c>
      <c r="D37" s="2" t="inlineStr"/>
      <c r="E37" s="2" t="inlineStr">
        <is>
          <t>https://www.berrybase.de/lochrasterplatine-9x15cm-mit-einseitiger-kupferauflage</t>
        </is>
      </c>
      <c r="F37" s="2" t="inlineStr"/>
      <c r="G37" s="5" t="n">
        <v>1.1</v>
      </c>
      <c r="H37" s="2" t="inlineStr"/>
      <c r="I37" s="2" t="inlineStr"/>
      <c r="J37" s="2" t="inlineStr"/>
    </row>
    <row r="38">
      <c r="A38" s="2" t="inlineStr">
        <is>
          <t>D10</t>
        </is>
      </c>
      <c r="B38" s="2" t="inlineStr">
        <is>
          <t>Vierlingslitze 4×0,14 mm², 5 m</t>
        </is>
      </c>
      <c r="C38" s="2" t="n">
        <v>1</v>
      </c>
      <c r="D38" s="2" t="inlineStr"/>
      <c r="E38" s="2" t="inlineStr">
        <is>
          <t>https://www.berrybase.de/vierlingslitze-isoliert-4x0-14mm-5m-farbe-blau-gelb-rot-gruen</t>
        </is>
      </c>
      <c r="F38" s="2" t="inlineStr"/>
      <c r="G38" s="5" t="n">
        <v>3.5</v>
      </c>
      <c r="H38" s="2" t="inlineStr"/>
      <c r="I38" s="2" t="inlineStr"/>
      <c r="J38" s="2" t="inlineStr"/>
    </row>
    <row r="39">
      <c r="A39" s="2" t="inlineStr">
        <is>
          <t>D11</t>
        </is>
      </c>
      <c r="B39" s="2" t="inlineStr">
        <is>
          <t>Schrumpfschlauch, TESA-Klebeband, Kabelbinder</t>
        </is>
      </c>
      <c r="C39" s="2" t="n">
        <v>1</v>
      </c>
      <c r="D39" s="2" t="inlineStr"/>
      <c r="E39" s="2" t="inlineStr">
        <is>
          <t>siehe Einkaufsliste_HydroDesk_guenstig.xlsx</t>
        </is>
      </c>
      <c r="F39" s="2" t="inlineStr"/>
      <c r="G39" s="5" t="n">
        <v>6.3</v>
      </c>
      <c r="H39" s="2" t="inlineStr"/>
      <c r="I39" s="2" t="inlineStr"/>
      <c r="J39" s="2" t="inlineStr">
        <is>
          <t>ersetzt Amazon Pos. 13+14</t>
        </is>
      </c>
    </row>
    <row r="40">
      <c r="A40" s="2" t="inlineStr"/>
      <c r="B40" s="2" t="inlineStr">
        <is>
          <t>Summe Berrybase (+4,95 € Versand)</t>
        </is>
      </c>
      <c r="C40" s="2" t="inlineStr"/>
      <c r="D40" s="2" t="inlineStr"/>
      <c r="E40" s="2" t="inlineStr"/>
      <c r="F40" s="2" t="inlineStr"/>
      <c r="G40" s="5" t="n">
        <v>24.82</v>
      </c>
      <c r="H40" s="2" t="n"/>
      <c r="I40" s="2" t="n"/>
      <c r="J40" s="2" t="n"/>
    </row>
    <row r="41">
      <c r="A41" s="2" t="inlineStr">
        <is>
          <t>E1</t>
        </is>
      </c>
      <c r="B41" s="2" t="inlineStr">
        <is>
          <t>AO3401A (2 + 1 Reserve) – Reichelt</t>
        </is>
      </c>
      <c r="C41" s="2" t="inlineStr">
        <is>
          <t>3</t>
        </is>
      </c>
      <c r="D41" s="2" t="inlineStr"/>
      <c r="E41" s="2" t="inlineStr">
        <is>
          <t>https://www.reichelt.de/de/de/shop/produkt/mosfet_p-ch_-30v_-4a_0_041r_sot-23-166486</t>
        </is>
      </c>
      <c r="F41" s="2" t="inlineStr"/>
      <c r="G41" s="5" t="n">
        <v>0.51</v>
      </c>
      <c r="H41" s="2" t="inlineStr"/>
      <c r="I41" s="2" t="inlineStr"/>
      <c r="J41" s="2" t="inlineStr">
        <is>
          <t>Berrybase hat ihn nicht; Amazon-Alternative Pos. 9 (18,99 €)</t>
        </is>
      </c>
    </row>
    <row r="42">
      <c r="A42" s="2" t="inlineStr">
        <is>
          <t>E2</t>
        </is>
      </c>
      <c r="B42" s="2" t="inlineStr">
        <is>
          <t>microSD-Sniffer</t>
        </is>
      </c>
      <c r="C42" s="2" t="n">
        <v>0</v>
      </c>
      <c r="D42" s="2" t="inlineStr"/>
      <c r="E42" s="2" t="inlineStr">
        <is>
          <t>nicht bestellen</t>
        </is>
      </c>
      <c r="F42" s="2" t="inlineStr"/>
      <c r="G42" s="2" t="n">
        <v>0</v>
      </c>
      <c r="H42" s="2" t="inlineStr"/>
      <c r="I42" s="2" t="inlineStr"/>
      <c r="J42" s="2" t="inlineStr">
        <is>
          <t>nicht bestellen, passt nicht. SD-Slot zeigt zur Frontwand (nur ca. 3,5 mm Luft); Sniffer würde ca. 35–40 mm herausstehen. GPIO18/19/23 direkt an den SD-Slot löten.</t>
        </is>
      </c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</row>
    <row r="44">
      <c r="A44" s="2" t="inlineStr"/>
      <c r="B44" s="3" t="inlineStr">
        <is>
          <t>EMPFOHLEN: Amazon Pflicht ohne Schrauben/Füße + Berrybase inkl. Füße + Reichelt + alleschrauben (ohne Sniffer)</t>
        </is>
      </c>
      <c r="C44" s="2" t="inlineStr"/>
      <c r="D44" s="2" t="inlineStr"/>
      <c r="E44" s="2" t="inlineStr"/>
      <c r="F44" s="2" t="inlineStr"/>
      <c r="G44" s="5" t="n">
        <v>119.27</v>
      </c>
      <c r="H44" s="2" t="n"/>
      <c r="I44" s="2" t="n"/>
      <c r="J44" s="2" t="inlineStr">
        <is>
          <t>+ Versand alleschrauben</t>
        </is>
      </c>
    </row>
    <row r="45">
      <c r="A45" s="2" t="inlineStr"/>
      <c r="B45" s="2" t="inlineStr">
        <is>
          <t>Variante „möglichst viel Amazon“: A + B (Pololu, Regensensor, Kleinteile trotzdem Berrybase)</t>
        </is>
      </c>
      <c r="C45" s="2" t="inlineStr"/>
      <c r="D45" s="2" t="inlineStr"/>
      <c r="E45" s="2" t="inlineStr"/>
      <c r="F45" s="2" t="inlineStr"/>
      <c r="G45" s="5" t="n">
        <v>175.07</v>
      </c>
      <c r="H45" s="2" t="n"/>
      <c r="I45" s="2" t="n"/>
      <c r="J45" s="2" t="n"/>
    </row>
  </sheetData>
  <hyperlinks>
    <hyperlink xmlns:r="http://schemas.openxmlformats.org/officeDocument/2006/relationships" ref="E11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7" customWidth="1" min="3" max="3"/>
    <col width="12" customWidth="1" min="4" max="4"/>
    <col width="10" customWidth="1" min="5" max="5"/>
    <col width="30" customWidth="1" min="6" max="6"/>
    <col width="90" customWidth="1" min="7" max="7"/>
  </cols>
  <sheetData>
    <row r="1">
      <c r="A1" t="inlineStr">
        <is>
          <t>Shop</t>
        </is>
      </c>
      <c r="B1" t="inlineStr">
        <is>
          <t>Teil</t>
        </is>
      </c>
      <c r="C1" t="inlineStr">
        <is>
          <t>Menge</t>
        </is>
      </c>
      <c r="D1" t="inlineStr">
        <is>
          <t>Einzelpreis €</t>
        </is>
      </c>
      <c r="E1" t="inlineStr">
        <is>
          <t>Summe €</t>
        </is>
      </c>
      <c r="F1" t="inlineStr">
        <is>
          <t>Lager (16.10.2026)</t>
        </is>
      </c>
      <c r="G1" t="inlineStr">
        <is>
          <t>Link</t>
        </is>
      </c>
    </row>
    <row r="2">
      <c r="A2" t="inlineStr">
        <is>
          <t>Berrybase</t>
        </is>
      </c>
      <c r="B2" t="inlineStr">
        <is>
          <t>Pololu S13V10F5 5 V/1 A Step-Up/Down</t>
        </is>
      </c>
      <c r="C2" t="n">
        <v>1</v>
      </c>
      <c r="D2" t="n">
        <v>9.949999999999999</v>
      </c>
      <c r="E2">
        <f>C2*D2</f>
        <v/>
      </c>
      <c r="F2" t="inlineStr">
        <is>
          <t>begrenzt lagernd</t>
        </is>
      </c>
      <c r="G2" t="inlineStr">
        <is>
          <t>https://www.berrybase.de/pololu-s13v10f5-5v-1a-step-up-step-down-converter</t>
        </is>
      </c>
    </row>
    <row r="3">
      <c r="A3" t="inlineStr">
        <is>
          <t>Berrybase</t>
        </is>
      </c>
      <c r="B3" t="inlineStr">
        <is>
          <t>Regensensor LM393 (digital+analog)</t>
        </is>
      </c>
      <c r="C3" t="n">
        <v>1</v>
      </c>
      <c r="D3" t="n">
        <v>1.8</v>
      </c>
      <c r="E3">
        <f>C3*D3</f>
        <v/>
      </c>
      <c r="F3" t="inlineStr">
        <is>
          <t>begrenzt lagernd</t>
        </is>
      </c>
      <c r="G3" t="inlineStr">
        <is>
          <t>https://www.berrybase.de/regensensor-mit-digitalem-und-analogem-ausgang</t>
        </is>
      </c>
    </row>
    <row r="4">
      <c r="A4" t="inlineStr">
        <is>
          <t>Berrybase</t>
        </is>
      </c>
      <c r="B4" t="inlineStr">
        <is>
          <t>Schiebeschalter 8,6×4,3×4 mm (C&amp;K OS102011MS2QN1-Bauform)</t>
        </is>
      </c>
      <c r="C4" t="n">
        <v>1</v>
      </c>
      <c r="D4" t="n">
        <v>0.7</v>
      </c>
      <c r="E4">
        <f>C4*D4</f>
        <v/>
      </c>
      <c r="F4" t="inlineStr">
        <is>
          <t>begrenzt lagernd</t>
        </is>
      </c>
      <c r="G4" t="inlineStr">
        <is>
          <t>https://www.berrybase.de/schiebeschalter-printmontage-on-on-2-stellig-8.6x4.3x4mm-gerade</t>
        </is>
      </c>
    </row>
    <row r="5">
      <c r="A5" t="inlineStr">
        <is>
          <t>Berrybase</t>
        </is>
      </c>
      <c r="B5" t="inlineStr">
        <is>
          <t>BC547B NPN TO-92</t>
        </is>
      </c>
      <c r="C5" t="n">
        <v>1</v>
      </c>
      <c r="D5" t="n">
        <v>0.17</v>
      </c>
      <c r="E5">
        <f>C5*D5</f>
        <v/>
      </c>
      <c r="F5" t="inlineStr">
        <is>
          <t>begrenzt lagernd</t>
        </is>
      </c>
      <c r="G5" t="inlineStr">
        <is>
          <t>https://www.berrybase.de/bc547b-bipolarer-transistor-npn-45v-100ma-to-92-3-pin</t>
        </is>
      </c>
    </row>
    <row r="6">
      <c r="A6" t="inlineStr">
        <is>
          <t>Berrybase</t>
        </is>
      </c>
      <c r="B6" t="inlineStr">
        <is>
          <t>Widerstand 470 Ω 1/4 W 1 %</t>
        </is>
      </c>
      <c r="C6" t="n">
        <v>1</v>
      </c>
      <c r="D6" t="n">
        <v>0.05</v>
      </c>
      <c r="E6">
        <f>C6*D6</f>
        <v/>
      </c>
      <c r="F6" t="inlineStr">
        <is>
          <t>begrenzt lagernd</t>
        </is>
      </c>
      <c r="G6" t="inlineStr">
        <is>
          <t>https://www.berrybase.de/metallschichtwiderstand-470-0-ohm-1-4w-1-0207-axial-durchsteckmontage</t>
        </is>
      </c>
    </row>
    <row r="7">
      <c r="A7" t="inlineStr">
        <is>
          <t>Berrybase</t>
        </is>
      </c>
      <c r="B7" t="inlineStr">
        <is>
          <t>Widerstand 4,7 kΩ 1/4 W 1 %</t>
        </is>
      </c>
      <c r="C7" t="n">
        <v>1</v>
      </c>
      <c r="D7" t="n">
        <v>0.06</v>
      </c>
      <c r="E7">
        <f>C7*D7</f>
        <v/>
      </c>
      <c r="F7" t="inlineStr">
        <is>
          <t>begrenzt lagernd</t>
        </is>
      </c>
      <c r="G7" t="inlineStr">
        <is>
          <t>https://www.berrybase.de/metallschichtwiderstand-4-7-kohm-1-4w-1-0207-axial-durchsteckmontage</t>
        </is>
      </c>
    </row>
    <row r="8">
      <c r="A8" t="inlineStr">
        <is>
          <t>Berrybase</t>
        </is>
      </c>
      <c r="B8" t="inlineStr">
        <is>
          <t>Widerstand 47 kΩ 1/4 W 1 % (Basis-GND, Gate Q2)</t>
        </is>
      </c>
      <c r="C8" t="n">
        <v>2</v>
      </c>
      <c r="D8" t="n">
        <v>0.05</v>
      </c>
      <c r="E8">
        <f>C8*D8</f>
        <v/>
      </c>
      <c r="F8" t="inlineStr">
        <is>
          <t>begrenzt lagernd</t>
        </is>
      </c>
      <c r="G8" t="inlineStr">
        <is>
          <t>https://www.berrybase.de/metallschichtwiderstand-47-0-kohm-1-4w-1-0207-axial-durchsteckmontage</t>
        </is>
      </c>
    </row>
    <row r="9">
      <c r="A9" t="inlineStr">
        <is>
          <t>Berrybase</t>
        </is>
      </c>
      <c r="B9" t="inlineStr">
        <is>
          <t>Widerstand 10 kΩ 1/4 W 1 % (2× Akku-Teiler, 1× Gate Q1)</t>
        </is>
      </c>
      <c r="C9" t="n">
        <v>3</v>
      </c>
      <c r="D9" t="n">
        <v>0.05</v>
      </c>
      <c r="E9">
        <f>C9*D9</f>
        <v/>
      </c>
      <c r="F9" t="inlineStr">
        <is>
          <t>begrenzt lagernd</t>
        </is>
      </c>
      <c r="G9" t="inlineStr">
        <is>
          <t>https://www.berrybase.de/metallschichtwiderstand-10-0-kohm-1-4w-1-0207-axial-durchsteckmontage</t>
        </is>
      </c>
    </row>
    <row r="10">
      <c r="A10" t="inlineStr">
        <is>
          <t>Berrybase</t>
        </is>
      </c>
      <c r="B10" t="inlineStr">
        <is>
          <t>Elko 470 µF/25 V radial</t>
        </is>
      </c>
      <c r="C10" t="n">
        <v>1</v>
      </c>
      <c r="D10" t="n">
        <v>0.1</v>
      </c>
      <c r="E10">
        <f>C10*D10</f>
        <v/>
      </c>
      <c r="F10" t="inlineStr">
        <is>
          <t>begrenzt lagernd</t>
        </is>
      </c>
      <c r="G10" t="inlineStr">
        <is>
          <t>https://www.berrybase.de/elektrolytkondensator-470-f-25v-1050c-1-radial-tht</t>
        </is>
      </c>
    </row>
    <row r="11">
      <c r="A11" t="inlineStr">
        <is>
          <t>Berrybase</t>
        </is>
      </c>
      <c r="B11" t="inlineStr">
        <is>
          <t>SMD-Adapter SOT-23 (für AO3401A)</t>
        </is>
      </c>
      <c r="C11" t="n">
        <v>2</v>
      </c>
      <c r="D11" t="n">
        <v>0.32</v>
      </c>
      <c r="E11">
        <f>C11*D11</f>
        <v/>
      </c>
      <c r="F11" t="inlineStr">
        <is>
          <t>begrenzt lagernd</t>
        </is>
      </c>
      <c r="G11" t="inlineStr">
        <is>
          <t>https://www.berrybase.de/smd-breakout-adapter-fuer-sot23-ssop10-msop10-10-pin-0-50mm-0-95mm</t>
        </is>
      </c>
    </row>
    <row r="12">
      <c r="A12" t="inlineStr">
        <is>
          <t>Berrybase</t>
        </is>
      </c>
      <c r="B12" t="inlineStr">
        <is>
          <t>Stiftleiste 1×20 RM 2,54</t>
        </is>
      </c>
      <c r="C12" t="n">
        <v>1</v>
      </c>
      <c r="D12" t="n">
        <v>0.2</v>
      </c>
      <c r="E12">
        <f>C12*D12</f>
        <v/>
      </c>
      <c r="F12" t="inlineStr">
        <is>
          <t>begrenzt lagernd</t>
        </is>
      </c>
      <c r="G12" t="inlineStr">
        <is>
          <t>https://www.berrybase.de/stiftleiste-1x-20-polig-rm-2-54-gerade</t>
        </is>
      </c>
    </row>
    <row r="13">
      <c r="A13" t="inlineStr">
        <is>
          <t>Berrybase</t>
        </is>
      </c>
      <c r="B13" t="inlineStr">
        <is>
          <t>Lochrasterplatine doppelseitig 3×7 cm, 10 Stk (ERSATZ: 9×15 cm einseitig ist ausverkauft)</t>
        </is>
      </c>
      <c r="C13" t="n">
        <v>1</v>
      </c>
      <c r="D13" t="n">
        <v>3.3</v>
      </c>
      <c r="E13">
        <f>C13*D13</f>
        <v/>
      </c>
      <c r="F13" t="inlineStr">
        <is>
          <t>begrenzt lagernd</t>
        </is>
      </c>
      <c r="G13" t="inlineStr">
        <is>
          <t>https://www.berrybase.de/lochrasterplatine-doppelseitig-3x7cm-10-stueck</t>
        </is>
      </c>
    </row>
    <row r="14">
      <c r="A14" t="inlineStr">
        <is>
          <t>Berrybase</t>
        </is>
      </c>
      <c r="B14" t="inlineStr">
        <is>
          <t>Vierlingslitze 4×0,14 mm², 5 m</t>
        </is>
      </c>
      <c r="C14" t="n">
        <v>1</v>
      </c>
      <c r="D14" t="n">
        <v>3.5</v>
      </c>
      <c r="E14">
        <f>C14*D14</f>
        <v/>
      </c>
      <c r="F14" t="inlineStr">
        <is>
          <t>begrenzt lagernd</t>
        </is>
      </c>
      <c r="G14" t="inlineStr">
        <is>
          <t>https://www.berrybase.de/vierlingslitze-isoliert-4x0-14mm-5m-farbe-blau-gelb-rot-gruen</t>
        </is>
      </c>
    </row>
    <row r="15">
      <c r="A15" t="inlineStr">
        <is>
          <t>Berrybase</t>
        </is>
      </c>
      <c r="B15" t="inlineStr">
        <is>
          <t>Schrumpfschlauch-Set 100-tlg. schwarz</t>
        </is>
      </c>
      <c r="C15" t="n">
        <v>1</v>
      </c>
      <c r="D15" t="n">
        <v>2.8</v>
      </c>
      <c r="E15">
        <f>C15*D15</f>
        <v/>
      </c>
      <c r="F15" t="inlineStr">
        <is>
          <t>begrenzt lagernd</t>
        </is>
      </c>
      <c r="G15" t="inlineStr">
        <is>
          <t>https://www.berrybase.de/schrumpfschlauch-set-100-teilig-in-sortimentsbox-schwarz</t>
        </is>
      </c>
    </row>
    <row r="16">
      <c r="A16" t="inlineStr">
        <is>
          <t>Berrybase</t>
        </is>
      </c>
      <c r="B16" t="inlineStr">
        <is>
          <t>TESA doppelseitig 10 m × 12 mm</t>
        </is>
      </c>
      <c r="C16" t="n">
        <v>1</v>
      </c>
      <c r="D16" t="n">
        <v>2.9</v>
      </c>
      <c r="E16">
        <f>C16*D16</f>
        <v/>
      </c>
      <c r="F16" t="inlineStr">
        <is>
          <t>begrenzt lagernd</t>
        </is>
      </c>
      <c r="G16" t="inlineStr">
        <is>
          <t>https://www.berrybase.de/tesa-doppelseitiges-klebeband-10m-x-12mm-transparent-pp-traeger-loesungsmittelfrei</t>
        </is>
      </c>
    </row>
    <row r="17">
      <c r="A17" t="inlineStr">
        <is>
          <t>Berrybase</t>
        </is>
      </c>
      <c r="B17" t="inlineStr">
        <is>
          <t>Kabelbinder 100×2,5 mm, 100 Stk</t>
        </is>
      </c>
      <c r="C17" t="n">
        <v>1</v>
      </c>
      <c r="D17" t="n">
        <v>0.6</v>
      </c>
      <c r="E17">
        <f>C17*D17</f>
        <v/>
      </c>
      <c r="F17" t="inlineStr">
        <is>
          <t>auf Lager</t>
        </is>
      </c>
      <c r="G17" t="inlineStr">
        <is>
          <t>https://www.berrybase.de/kabelbinder-uv-bestaendig-nylon-100-stueck/farbe-transparent/masse-100x2-5mm</t>
        </is>
      </c>
    </row>
    <row r="18">
      <c r="A18" t="inlineStr">
        <is>
          <t>Reichelt</t>
        </is>
      </c>
      <c r="B18" t="inlineStr">
        <is>
          <t>P-MOSFET AO3401A SOT-23 (1 Ersatz)</t>
        </is>
      </c>
      <c r="C18" t="n">
        <v>3</v>
      </c>
      <c r="D18" t="n">
        <v>0.17</v>
      </c>
      <c r="E18">
        <f>C18*D18</f>
        <v/>
      </c>
      <c r="F18" t="inlineStr">
        <is>
          <t>auf Lager, 1–2 Werktage</t>
        </is>
      </c>
      <c r="G18" t="inlineStr">
        <is>
          <t>https://www.reichelt.de/de/de/shop/produkt/mosfet_p-ch_-30v_-4a_0_041r_sot-23-166486</t>
        </is>
      </c>
    </row>
    <row r="19">
      <c r="A19" t="inlineStr">
        <is>
          <t>openelab.de</t>
        </is>
      </c>
      <c r="B19" t="inlineStr">
        <is>
          <t>Micro SD Sniffer TF Adapter Board – NICHT BESTELLEN (passt nicht)</t>
        </is>
      </c>
      <c r="C19" t="n">
        <v>0</v>
      </c>
      <c r="D19" t="n">
        <v>0</v>
      </c>
      <c r="E19">
        <f>C19*D19</f>
        <v/>
      </c>
      <c r="F19" t="inlineStr">
        <is>
          <t>nicht bestellen, passt nicht. SD-Slot zeigt zur Frontwand (nur ca. 3,5 mm Luft); Sniffer würde ca. 35–40 mm herausstehen. GPIO18/19/23 direkt an den SD-Slot löten.</t>
        </is>
      </c>
      <c r="G19" t="inlineStr">
        <is>
          <t>https://openelab.de/products/micro-sd-sniffe-tf-adapter</t>
        </is>
      </c>
    </row>
    <row r="20">
      <c r="A20" t="inlineStr">
        <is>
          <t>Berrybase Summe</t>
        </is>
      </c>
      <c r="E20">
        <f>SUMIF(A2:A19,"Berrybase",E2:E19)</f>
        <v/>
      </c>
      <c r="F20" t="inlineStr">
        <is>
          <t>Versand: 4,95 €</t>
        </is>
      </c>
    </row>
    <row r="21">
      <c r="A21" t="inlineStr">
        <is>
          <t>Reichelt Summe</t>
        </is>
      </c>
      <c r="E21">
        <f>SUMIF(A2:A19,"Reichelt",E2:E19)</f>
        <v/>
      </c>
      <c r="F21" t="inlineStr">
        <is>
          <t>Versand: 5,95 €</t>
        </is>
      </c>
    </row>
    <row r="22">
      <c r="A22" t="inlineStr">
        <is>
          <t>openelab.de Summe (Sniffer gestrichen)</t>
        </is>
      </c>
      <c r="E22">
        <f>SUMIF(A2:A19,"openelab.de",E2:E19)</f>
        <v/>
      </c>
      <c r="F22" t="inlineStr">
        <is>
          <t>nicht bestellen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Teil</t>
        </is>
      </c>
      <c r="B1" t="inlineStr">
        <is>
          <t>Shop</t>
        </is>
      </c>
      <c r="C1" t="inlineStr">
        <is>
          <t>Link</t>
        </is>
      </c>
      <c r="D1" t="inlineStr">
        <is>
          <t>Menge</t>
        </is>
      </c>
      <c r="E1" t="inlineStr">
        <is>
          <t>Einzelpreis €</t>
        </is>
      </c>
      <c r="F1" t="inlineStr">
        <is>
          <t>Summe €</t>
        </is>
      </c>
      <c r="G1" t="inlineStr">
        <is>
          <t>Passt</t>
        </is>
      </c>
      <c r="H1" t="inlineStr">
        <is>
          <t>Hinweis (16.10.2026)</t>
        </is>
      </c>
    </row>
    <row r="2">
      <c r="A2" t="inlineStr">
        <is>
          <t>Gummifüße Ø10×4,5</t>
        </is>
      </c>
      <c r="B2" t="inlineStr">
        <is>
          <t>Berrybase</t>
        </is>
      </c>
      <c r="C2" t="inlineStr">
        <is>
          <t>https://www.berrybase.de/fix-fasten-selbstklebender-fuss-rund-oben-9-5mm-unten-10mm-hoehe-4-5mm-gummi-schwarz</t>
        </is>
      </c>
      <c r="D2" t="n">
        <v>4</v>
      </c>
      <c r="E2" t="n">
        <v>0.15</v>
      </c>
      <c r="F2">
        <f>D2*E2</f>
        <v/>
      </c>
      <c r="G2" t="inlineStr">
        <is>
          <t>ja</t>
        </is>
      </c>
      <c r="H2" t="inlineStr">
        <is>
          <t>ersetzt Amazon 5,45 €</t>
        </is>
      </c>
    </row>
    <row r="3">
      <c r="A3" t="inlineStr">
        <is>
          <t>Senkkopf M3×12 A2</t>
        </is>
      </c>
      <c r="B3" t="inlineStr">
        <is>
          <t>alleschrauben.de</t>
        </is>
      </c>
      <c r="C3" t="inlineStr">
        <is>
          <t>https://alleschrauben.de/Schrauben/Senkkopf/Senkkopfschrauben-DIN-7991/Senkkopfschrauben-M3x12-mit-Innensechskant-DIN-7991-Edelstahl-A2</t>
        </is>
      </c>
      <c r="D3" t="n">
        <v>8</v>
      </c>
      <c r="E3" t="n">
        <v>0.48</v>
      </c>
      <c r="F3">
        <f>D3*E3</f>
        <v/>
      </c>
      <c r="G3" t="inlineStr">
        <is>
          <t>ja</t>
        </is>
      </c>
      <c r="H3" t="inlineStr">
        <is>
          <t>Versand erst im Warenkorb</t>
        </is>
      </c>
    </row>
    <row r="4">
      <c r="A4" t="inlineStr">
        <is>
          <t>Senkkopf M4×10 A2</t>
        </is>
      </c>
      <c r="B4" t="inlineStr">
        <is>
          <t>alleschrauben.de</t>
        </is>
      </c>
      <c r="C4" t="inlineStr">
        <is>
          <t>https://alleschrauben.de/Schrauben/Senkkopf/Senkkopfschrauben-DIN-7991/Senkkopfschrauben-M4x10-mit-Innensechskant-DIN-7991-Edelstahl-A2</t>
        </is>
      </c>
      <c r="D4" t="n">
        <v>2</v>
      </c>
      <c r="E4" t="n">
        <v>0.47</v>
      </c>
      <c r="F4">
        <f>D4*E4</f>
        <v/>
      </c>
      <c r="G4" t="inlineStr">
        <is>
          <t>ja</t>
        </is>
      </c>
    </row>
    <row r="5">
      <c r="A5" t="inlineStr">
        <is>
          <t>Senkkopf M5×12 A2</t>
        </is>
      </c>
      <c r="B5" t="inlineStr">
        <is>
          <t>alleschrauben.de</t>
        </is>
      </c>
      <c r="C5" t="inlineStr">
        <is>
          <t>https://alleschrauben.de/Schrauben/Senkkopf/Senkkopfschrauben-DIN-7991/Senkkopfschrauben-M5x12-mit-Innensechskant-DIN-7991-Edelstahl-A2</t>
        </is>
      </c>
      <c r="D5" t="n">
        <v>2</v>
      </c>
      <c r="E5" t="n">
        <v>0.52</v>
      </c>
      <c r="F5">
        <f>D5*E5</f>
        <v/>
      </c>
      <c r="G5" t="inlineStr">
        <is>
          <t>ja</t>
        </is>
      </c>
    </row>
    <row r="6">
      <c r="A6" t="inlineStr">
        <is>
          <t>Wägezelle 5 kg</t>
        </is>
      </c>
      <c r="B6" t="inlineStr">
        <is>
          <t>Berrybase</t>
        </is>
      </c>
      <c r="C6" t="inlineStr">
        <is>
          <t>https://www.berrybase.de/dehnungsmessstreifen-waegezelle-5kg</t>
        </is>
      </c>
      <c r="D6" t="n">
        <v>1</v>
      </c>
      <c r="E6" t="n">
        <v>5.4</v>
      </c>
      <c r="F6">
        <f>D6*E6</f>
        <v/>
      </c>
      <c r="G6" t="inlineStr">
        <is>
          <t>NEIN</t>
        </is>
      </c>
      <c r="H6" t="inlineStr">
        <is>
          <t>75 mm statt 80 mm</t>
        </is>
      </c>
    </row>
    <row r="7">
      <c r="A7" t="inlineStr">
        <is>
          <t>USB-C-Lader</t>
        </is>
      </c>
      <c r="B7" t="inlineStr">
        <is>
          <t>Berrybase</t>
        </is>
      </c>
      <c r="C7" t="inlineStr">
        <is>
          <t>https://www.berrybase.de/ladeplatine-fuer-3-7v-liion-lipo-akkus-mit-ausgang-usb-type-c-buchse-loetpads-1000ma</t>
        </is>
      </c>
      <c r="D7" t="n">
        <v>1</v>
      </c>
      <c r="E7" t="n">
        <v>1.4</v>
      </c>
      <c r="F7">
        <f>D7*E7</f>
        <v/>
      </c>
      <c r="G7" t="inlineStr">
        <is>
          <t>NEIN</t>
        </is>
      </c>
      <c r="H7" t="inlineStr">
        <is>
          <t>29 mm &gt; Fach 26 mm</t>
        </is>
      </c>
    </row>
    <row r="8">
      <c r="A8" t="inlineStr">
        <is>
          <t>LiPo</t>
        </is>
      </c>
      <c r="B8" t="inlineStr">
        <is>
          <t>Berrybase</t>
        </is>
      </c>
      <c r="C8" t="inlineStr">
        <is>
          <t>https://www.berrybase.de/lp-503562-lithium-polymer-lipo-akku-3-7v-1200mah-mit-2-pin-jst-stecker</t>
        </is>
      </c>
      <c r="D8" t="n">
        <v>1</v>
      </c>
      <c r="E8" t="n">
        <v>5.5</v>
      </c>
      <c r="F8">
        <f>D8*E8</f>
        <v/>
      </c>
      <c r="G8" t="inlineStr">
        <is>
          <t>NEIN</t>
        </is>
      </c>
      <c r="H8" t="inlineStr">
        <is>
          <t>62,5 mm zu lang; kein passendes Format</t>
        </is>
      </c>
    </row>
    <row r="9">
      <c r="A9" t="inlineStr">
        <is>
          <t>CYD / COB-LED / Silikonmatte / M4,M5</t>
        </is>
      </c>
      <c r="B9" t="inlineStr">
        <is>
          <t>Berrybase</t>
        </is>
      </c>
      <c r="C9" t="inlineStr">
        <is>
          <t>–</t>
        </is>
      </c>
      <c r="G9" t="inlineStr">
        <is>
          <t>–</t>
        </is>
      </c>
      <c r="H9" t="inlineStr">
        <is>
          <t>nicht im Sortiment bzw. kein 5-mm-COB</t>
        </is>
      </c>
    </row>
    <row r="11">
      <c r="A11" t="inlineStr">
        <is>
          <t>Bester Mix</t>
        </is>
      </c>
      <c r="C11" t="inlineStr">
        <is>
          <t>Amazon ohne Schrauben/Füße 74,42 (Matte 12,49) + Berrybase 31,97 + 0,60 + Reichelt 6,46 + alleschrauben 5,82</t>
        </is>
      </c>
      <c r="F11" t="n">
        <v>119.27</v>
      </c>
      <c r="H11" t="inlineStr">
        <is>
          <t>+ Versand alleschrauben; Sniffer gestrichen (passt nicht)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2026-10-16T07:43:07Z</dcterms:created>
  <dcterms:modified xmlns:dcterms="http://purl.org/dc/terms/" xmlns:xsi="http://www.w3.org/2001/XMLSchema-instance" xsi:type="dcterms:W3CDTF">2026-10-16T08:52:40Z</dcterms:modified>
</cp:coreProperties>
</file>